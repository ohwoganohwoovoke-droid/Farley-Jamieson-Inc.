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codeName="ThisWorkbook" defaultThemeVersion="124226"/>
  <xr:revisionPtr revIDLastSave="0" documentId="13_ncr:1_{5EB60BA2-76B3-44E8-B79D-63F07B775E10}" xr6:coauthVersionLast="47" xr6:coauthVersionMax="47" xr10:uidLastSave="{00000000-0000-0000-0000-000000000000}"/>
  <bookViews>
    <workbookView xWindow="2030" yWindow="1650" windowWidth="14400" windowHeight="7270" tabRatio="758" firstSheet="1" activeTab="5" xr2:uid="{00000000-000D-0000-FFFF-FFFF00000000}"/>
  </bookViews>
  <sheets>
    <sheet name="Exam Info" sheetId="2" r:id="rId1"/>
    <sheet name="Cover Page" sheetId="3" r:id="rId2"/>
    <sheet name="Summary" sheetId="6" r:id="rId3"/>
    <sheet name="Assumptions" sheetId="4" r:id="rId4"/>
    <sheet name="Scenarios" sheetId="5" r:id="rId5"/>
    <sheet name="Model" sheetId="1" r:id="rId6"/>
  </sheets>
  <definedNames>
    <definedName name="BS_Check" localSheetId="3">Assumptions!$E$132</definedName>
    <definedName name="BS_Check" localSheetId="4">Scenarios!$E$126</definedName>
    <definedName name="BS_Check" localSheetId="2">Summary!$E$112</definedName>
    <definedName name="BS_Check">Model!$E$141</definedName>
    <definedName name="Currency">Assumptions!$F$21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40869.3787037037</definedName>
    <definedName name="IQ_NTM" hidden="1">6000</definedName>
    <definedName name="IQ_OPENED55" hidden="1">1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A8" hidden="1">"$A$9:$A$261"</definedName>
    <definedName name="IQRB8" hidden="1">"$B$9:$B$261"</definedName>
    <definedName name="IQRC8" hidden="1">"$C$9:$C$261"</definedName>
    <definedName name="L_Scenarios">Scenarios!$D$8:$D$10</definedName>
    <definedName name="Million">Assumptions!$F$11</definedName>
    <definedName name="_xlnm.Print_Area" localSheetId="1">'Cover Page'!$A$1:$H$17</definedName>
    <definedName name="_xlnm.Print_Titles" localSheetId="3">Assumptions!$1:$5</definedName>
    <definedName name="_xlnm.Print_Titles" localSheetId="5">Model!$1:$5</definedName>
    <definedName name="_xlnm.Print_Titles" localSheetId="4">Scenarios!$1:$5</definedName>
    <definedName name="_xlnm.Print_Titles" localSheetId="2">Summary!$1:$5</definedName>
    <definedName name="S_Scenarios">Scenarios!$E$7</definedName>
    <definedName name="Scenario_Used">Scenarios!$D$7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25" i="1" l="1"/>
  <c r="L216" i="1"/>
  <c r="D157" i="1"/>
  <c r="E137" i="1"/>
  <c r="E216" i="1"/>
  <c r="E217" i="1"/>
  <c r="E218" i="1"/>
  <c r="E219" i="1"/>
  <c r="E220" i="1"/>
  <c r="E212" i="1"/>
  <c r="E222" i="1"/>
  <c r="E224" i="1"/>
  <c r="E227" i="1"/>
  <c r="E228" i="1"/>
  <c r="E229" i="1"/>
  <c r="E230" i="1"/>
  <c r="E241" i="1"/>
  <c r="E243" i="1"/>
  <c r="E279" i="1"/>
  <c r="E281" i="1"/>
  <c r="E290" i="1"/>
  <c r="E291" i="1"/>
  <c r="E292" i="1"/>
  <c r="E294" i="1"/>
  <c r="E300" i="1"/>
  <c r="E301" i="1"/>
  <c r="E302" i="1"/>
  <c r="E305" i="1"/>
  <c r="E306" i="1"/>
  <c r="E307" i="1"/>
  <c r="E308" i="1"/>
  <c r="E317" i="1"/>
  <c r="E318" i="1"/>
  <c r="E319" i="1"/>
  <c r="E340" i="1"/>
  <c r="E341" i="1"/>
  <c r="E342" i="1"/>
  <c r="E344" i="1"/>
  <c r="E349" i="1"/>
  <c r="E350" i="1"/>
  <c r="E351" i="1"/>
  <c r="E353" i="1"/>
  <c r="E358" i="1"/>
  <c r="E359" i="1"/>
  <c r="E360" i="1"/>
  <c r="E362" i="1"/>
  <c r="E365" i="1"/>
  <c r="E366" i="1"/>
  <c r="E367" i="1"/>
  <c r="E368" i="1"/>
  <c r="E369" i="1"/>
  <c r="E370" i="1"/>
  <c r="E371" i="1"/>
  <c r="E372" i="1"/>
  <c r="E373" i="1"/>
  <c r="E374" i="1"/>
  <c r="E377" i="1"/>
  <c r="E378" i="1"/>
  <c r="E379" i="1"/>
  <c r="E380" i="1"/>
  <c r="E381" i="1"/>
  <c r="E104" i="6"/>
  <c r="E105" i="6"/>
  <c r="E106" i="6"/>
  <c r="E107" i="6"/>
  <c r="D105" i="6"/>
  <c r="D106" i="6"/>
  <c r="D107" i="6"/>
  <c r="D104" i="6"/>
  <c r="C103" i="6"/>
  <c r="E100" i="6"/>
  <c r="D100" i="6"/>
  <c r="D99" i="6"/>
  <c r="E95" i="6"/>
  <c r="D95" i="6"/>
  <c r="D94" i="6"/>
  <c r="D90" i="6"/>
  <c r="B87" i="6" a="1"/>
  <c r="B87" i="6" s="1"/>
  <c r="L134" i="1"/>
  <c r="M134" i="1" s="1"/>
  <c r="N134" i="1" s="1"/>
  <c r="O134" i="1" s="1"/>
  <c r="P134" i="1" s="1"/>
  <c r="L126" i="1"/>
  <c r="M126" i="1" s="1"/>
  <c r="N126" i="1" s="1"/>
  <c r="O126" i="1" s="1"/>
  <c r="P126" i="1" s="1"/>
  <c r="L111" i="1"/>
  <c r="M111" i="1" s="1"/>
  <c r="N111" i="1" s="1"/>
  <c r="O111" i="1" s="1"/>
  <c r="P111" i="1" s="1"/>
  <c r="L110" i="1"/>
  <c r="M110" i="1" s="1"/>
  <c r="N110" i="1" s="1"/>
  <c r="O110" i="1" s="1"/>
  <c r="P110" i="1" s="1"/>
  <c r="E149" i="4"/>
  <c r="L109" i="1"/>
  <c r="M109" i="1" s="1"/>
  <c r="N109" i="1" s="1"/>
  <c r="M87" i="1"/>
  <c r="M373" i="1" s="1"/>
  <c r="N87" i="1"/>
  <c r="N373" i="1" s="1"/>
  <c r="O87" i="1"/>
  <c r="O373" i="1" s="1"/>
  <c r="P87" i="1"/>
  <c r="P373" i="1" s="1"/>
  <c r="L87" i="1"/>
  <c r="L373" i="1" s="1"/>
  <c r="J88" i="1"/>
  <c r="K88" i="1"/>
  <c r="I88" i="1"/>
  <c r="D80" i="1"/>
  <c r="M74" i="1"/>
  <c r="N74" i="1"/>
  <c r="O74" i="1"/>
  <c r="P74" i="1"/>
  <c r="M75" i="1"/>
  <c r="N75" i="1"/>
  <c r="O75" i="1"/>
  <c r="P75" i="1"/>
  <c r="L75" i="1"/>
  <c r="L74" i="1"/>
  <c r="M68" i="1"/>
  <c r="N68" i="1"/>
  <c r="O68" i="1"/>
  <c r="P68" i="1"/>
  <c r="L68" i="1"/>
  <c r="D381" i="1"/>
  <c r="D380" i="1"/>
  <c r="D379" i="1"/>
  <c r="E356" i="1"/>
  <c r="F356" i="1"/>
  <c r="D356" i="1"/>
  <c r="D378" i="1"/>
  <c r="D377" i="1"/>
  <c r="D368" i="1"/>
  <c r="D370" i="1"/>
  <c r="D372" i="1"/>
  <c r="D373" i="1"/>
  <c r="D85" i="1"/>
  <c r="D371" i="1" s="1"/>
  <c r="D367" i="1"/>
  <c r="D366" i="1"/>
  <c r="D365" i="1"/>
  <c r="K360" i="1"/>
  <c r="L358" i="1" s="1"/>
  <c r="C355" i="1"/>
  <c r="K351" i="1"/>
  <c r="L349" i="1" s="1"/>
  <c r="D350" i="1"/>
  <c r="E347" i="1"/>
  <c r="F347" i="1"/>
  <c r="C346" i="1"/>
  <c r="K342" i="1"/>
  <c r="L340" i="1" s="1"/>
  <c r="P328" i="1"/>
  <c r="O328" i="1"/>
  <c r="N328" i="1"/>
  <c r="M328" i="1"/>
  <c r="L328" i="1"/>
  <c r="E328" i="1"/>
  <c r="D328" i="1"/>
  <c r="D341" i="1" s="1"/>
  <c r="E325" i="1"/>
  <c r="D325" i="1"/>
  <c r="M33" i="1"/>
  <c r="N33" i="1"/>
  <c r="O33" i="1"/>
  <c r="P33" i="1"/>
  <c r="L33" i="1"/>
  <c r="M27" i="1"/>
  <c r="N27" i="1"/>
  <c r="O27" i="1"/>
  <c r="P27" i="1"/>
  <c r="L27" i="1"/>
  <c r="J121" i="1"/>
  <c r="K121" i="1"/>
  <c r="I121" i="1"/>
  <c r="E118" i="1"/>
  <c r="D331" i="1"/>
  <c r="E331" i="1"/>
  <c r="D332" i="1"/>
  <c r="E332" i="1"/>
  <c r="D333" i="1"/>
  <c r="E333" i="1"/>
  <c r="D334" i="1"/>
  <c r="E334" i="1"/>
  <c r="D335" i="1"/>
  <c r="E335" i="1"/>
  <c r="D336" i="1"/>
  <c r="E336" i="1"/>
  <c r="E330" i="1"/>
  <c r="D330" i="1"/>
  <c r="E324" i="1"/>
  <c r="F324" i="1"/>
  <c r="D324" i="1"/>
  <c r="C323" i="1"/>
  <c r="K319" i="1"/>
  <c r="L317" i="1" s="1"/>
  <c r="P315" i="1"/>
  <c r="O315" i="1"/>
  <c r="N315" i="1"/>
  <c r="M315" i="1"/>
  <c r="L315" i="1"/>
  <c r="E315" i="1"/>
  <c r="D315" i="1"/>
  <c r="D318" i="1" s="1"/>
  <c r="F314" i="1"/>
  <c r="E314" i="1"/>
  <c r="D314" i="1"/>
  <c r="C313" i="1"/>
  <c r="K308" i="1"/>
  <c r="L305" i="1" s="1"/>
  <c r="D306" i="1"/>
  <c r="C304" i="1"/>
  <c r="K302" i="1"/>
  <c r="L300" i="1" s="1"/>
  <c r="P297" i="1"/>
  <c r="P301" i="1" s="1"/>
  <c r="P84" i="1" s="1"/>
  <c r="P370" i="1" s="1"/>
  <c r="O297" i="1"/>
  <c r="O301" i="1" s="1"/>
  <c r="O84" i="1" s="1"/>
  <c r="O370" i="1" s="1"/>
  <c r="N297" i="1"/>
  <c r="N301" i="1" s="1"/>
  <c r="N84" i="1" s="1"/>
  <c r="N370" i="1" s="1"/>
  <c r="M297" i="1"/>
  <c r="M301" i="1" s="1"/>
  <c r="M84" i="1" s="1"/>
  <c r="M370" i="1" s="1"/>
  <c r="L297" i="1"/>
  <c r="L301" i="1" s="1"/>
  <c r="L84" i="1" s="1"/>
  <c r="L370" i="1" s="1"/>
  <c r="F298" i="1"/>
  <c r="E298" i="1"/>
  <c r="D298" i="1"/>
  <c r="E297" i="1"/>
  <c r="D297" i="1"/>
  <c r="D301" i="1" s="1"/>
  <c r="C296" i="1"/>
  <c r="K292" i="1"/>
  <c r="L290" i="1" s="1"/>
  <c r="J135" i="1"/>
  <c r="K135" i="1"/>
  <c r="I135" i="1"/>
  <c r="E131" i="1"/>
  <c r="D292" i="1"/>
  <c r="D302" i="1" s="1"/>
  <c r="D308" i="1" s="1"/>
  <c r="D290" i="1"/>
  <c r="D300" i="1" s="1"/>
  <c r="D305" i="1" s="1"/>
  <c r="P287" i="1"/>
  <c r="P291" i="1" s="1"/>
  <c r="O287" i="1"/>
  <c r="O291" i="1" s="1"/>
  <c r="O83" i="1" s="1"/>
  <c r="N287" i="1"/>
  <c r="N291" i="1" s="1"/>
  <c r="N83" i="1" s="1"/>
  <c r="M287" i="1"/>
  <c r="M291" i="1" s="1"/>
  <c r="M83" i="1" s="1"/>
  <c r="L287" i="1"/>
  <c r="L291" i="1" s="1"/>
  <c r="L83" i="1" s="1"/>
  <c r="L369" i="1" s="1"/>
  <c r="F288" i="1"/>
  <c r="E288" i="1"/>
  <c r="D288" i="1"/>
  <c r="E287" i="1"/>
  <c r="D287" i="1"/>
  <c r="D291" i="1" s="1"/>
  <c r="D83" i="1" s="1"/>
  <c r="D369" i="1" s="1"/>
  <c r="C286" i="1"/>
  <c r="L271" i="1"/>
  <c r="M271" i="1"/>
  <c r="N271" i="1"/>
  <c r="O271" i="1"/>
  <c r="P271" i="1"/>
  <c r="L272" i="1"/>
  <c r="M272" i="1"/>
  <c r="N272" i="1"/>
  <c r="O272" i="1"/>
  <c r="P272" i="1"/>
  <c r="L273" i="1"/>
  <c r="M273" i="1"/>
  <c r="N273" i="1"/>
  <c r="O273" i="1"/>
  <c r="P273" i="1"/>
  <c r="L276" i="1"/>
  <c r="M276" i="1"/>
  <c r="N276" i="1"/>
  <c r="O276" i="1"/>
  <c r="P276" i="1"/>
  <c r="L277" i="1"/>
  <c r="M277" i="1"/>
  <c r="N277" i="1"/>
  <c r="O277" i="1"/>
  <c r="P277" i="1"/>
  <c r="E81" i="4"/>
  <c r="E261" i="1" s="1"/>
  <c r="E82" i="4"/>
  <c r="E262" i="1" s="1"/>
  <c r="E83" i="4"/>
  <c r="E263" i="1" s="1"/>
  <c r="E84" i="4"/>
  <c r="E264" i="1" s="1"/>
  <c r="E86" i="4"/>
  <c r="E266" i="1" s="1"/>
  <c r="E87" i="4"/>
  <c r="E267" i="1" s="1"/>
  <c r="E88" i="4"/>
  <c r="E268" i="1"/>
  <c r="E271" i="1"/>
  <c r="E272" i="1"/>
  <c r="E273" i="1"/>
  <c r="E276" i="1"/>
  <c r="E277" i="1"/>
  <c r="C270" i="1"/>
  <c r="C260" i="1"/>
  <c r="C256" i="1"/>
  <c r="D264" i="1"/>
  <c r="D268" i="1"/>
  <c r="P254" i="1"/>
  <c r="O254" i="1"/>
  <c r="N254" i="1"/>
  <c r="M254" i="1"/>
  <c r="L254" i="1"/>
  <c r="K254" i="1"/>
  <c r="J254" i="1"/>
  <c r="I254" i="1"/>
  <c r="E254" i="1"/>
  <c r="D254" i="1"/>
  <c r="D246" i="1"/>
  <c r="D247" i="1"/>
  <c r="D245" i="1"/>
  <c r="P237" i="1"/>
  <c r="P240" i="1" s="1"/>
  <c r="O237" i="1"/>
  <c r="O240" i="1" s="1"/>
  <c r="N237" i="1"/>
  <c r="N240" i="1" s="1"/>
  <c r="M237" i="1"/>
  <c r="M240" i="1" s="1"/>
  <c r="L237" i="1"/>
  <c r="L240" i="1" s="1"/>
  <c r="E237" i="1"/>
  <c r="E240" i="1" s="1"/>
  <c r="D237" i="1"/>
  <c r="D240" i="1" s="1"/>
  <c r="E235" i="1"/>
  <c r="F235" i="1"/>
  <c r="D235" i="1"/>
  <c r="K230" i="1"/>
  <c r="L227" i="1" s="1"/>
  <c r="D229" i="1"/>
  <c r="E206" i="1"/>
  <c r="F206" i="1"/>
  <c r="M212" i="1" s="1"/>
  <c r="E207" i="1"/>
  <c r="F207" i="1"/>
  <c r="D207" i="1"/>
  <c r="D206" i="1"/>
  <c r="C205" i="1"/>
  <c r="K210" i="1"/>
  <c r="D210" i="1"/>
  <c r="P203" i="1"/>
  <c r="P228" i="1" s="1"/>
  <c r="O203" i="1"/>
  <c r="O73" i="1" s="1"/>
  <c r="N203" i="1"/>
  <c r="N228" i="1" s="1"/>
  <c r="M203" i="1"/>
  <c r="M228" i="1" s="1"/>
  <c r="L203" i="1"/>
  <c r="L228" i="1" s="1"/>
  <c r="E203" i="1"/>
  <c r="D203" i="1"/>
  <c r="D228" i="1" s="1"/>
  <c r="L198" i="1"/>
  <c r="L24" i="1" s="1"/>
  <c r="E198" i="1"/>
  <c r="D198" i="1"/>
  <c r="K196" i="1"/>
  <c r="E194" i="1"/>
  <c r="E195" i="1"/>
  <c r="E196" i="1"/>
  <c r="E188" i="1"/>
  <c r="D188" i="1"/>
  <c r="E186" i="1"/>
  <c r="D186" i="1"/>
  <c r="D183" i="1"/>
  <c r="D195" i="1" s="1"/>
  <c r="E183" i="1"/>
  <c r="K183" i="1"/>
  <c r="D184" i="1"/>
  <c r="D196" i="1" s="1"/>
  <c r="E184" i="1"/>
  <c r="K184" i="1"/>
  <c r="E182" i="1"/>
  <c r="K182" i="1"/>
  <c r="D182" i="1"/>
  <c r="D191" i="1" s="1"/>
  <c r="E153" i="1"/>
  <c r="F153" i="1"/>
  <c r="M153" i="1" s="1"/>
  <c r="D153" i="1"/>
  <c r="E168" i="1"/>
  <c r="K174" i="1"/>
  <c r="K168" i="1" s="1"/>
  <c r="D174" i="1"/>
  <c r="D168" i="1" s="1"/>
  <c r="D175" i="1"/>
  <c r="E158" i="1"/>
  <c r="D158" i="1"/>
  <c r="K173" i="1"/>
  <c r="D173" i="1"/>
  <c r="C172" i="1" s="1"/>
  <c r="E157" i="1"/>
  <c r="E167" i="1"/>
  <c r="D167" i="1"/>
  <c r="K151" i="1"/>
  <c r="K163" i="1" s="1"/>
  <c r="K150" i="1"/>
  <c r="K149" i="1"/>
  <c r="E150" i="1"/>
  <c r="D150" i="1"/>
  <c r="C166" i="1" s="1"/>
  <c r="E149" i="1"/>
  <c r="D149" i="1"/>
  <c r="E151" i="1"/>
  <c r="E163" i="1" s="1"/>
  <c r="D151" i="1"/>
  <c r="C156" i="1" s="1"/>
  <c r="E139" i="4"/>
  <c r="E140" i="4"/>
  <c r="E141" i="4"/>
  <c r="E142" i="4"/>
  <c r="E143" i="4"/>
  <c r="E144" i="4"/>
  <c r="E145" i="4"/>
  <c r="E146" i="4"/>
  <c r="E147" i="4"/>
  <c r="E148" i="4"/>
  <c r="D145" i="4"/>
  <c r="D144" i="4"/>
  <c r="E134" i="4"/>
  <c r="E133" i="4"/>
  <c r="E108" i="4"/>
  <c r="D108" i="4"/>
  <c r="E107" i="4"/>
  <c r="E103" i="4"/>
  <c r="K87" i="4"/>
  <c r="K267" i="1" s="1"/>
  <c r="J87" i="4"/>
  <c r="J267" i="1" s="1"/>
  <c r="I87" i="4"/>
  <c r="I267" i="1" s="1"/>
  <c r="K86" i="4"/>
  <c r="K266" i="1" s="1"/>
  <c r="J86" i="4"/>
  <c r="J266" i="1" s="1"/>
  <c r="I86" i="4"/>
  <c r="I266" i="1" s="1"/>
  <c r="K83" i="4"/>
  <c r="K263" i="1" s="1"/>
  <c r="J83" i="4"/>
  <c r="J263" i="1" s="1"/>
  <c r="I83" i="4"/>
  <c r="I263" i="1" s="1"/>
  <c r="K82" i="4"/>
  <c r="K262" i="1" s="1"/>
  <c r="J82" i="4"/>
  <c r="J262" i="1" s="1"/>
  <c r="I82" i="4"/>
  <c r="I262" i="1" s="1"/>
  <c r="K81" i="4"/>
  <c r="K261" i="1" s="1"/>
  <c r="J81" i="4"/>
  <c r="J261" i="1" s="1"/>
  <c r="I81" i="4"/>
  <c r="I261" i="1" s="1"/>
  <c r="D87" i="4"/>
  <c r="D97" i="4" s="1"/>
  <c r="D277" i="1" s="1"/>
  <c r="D86" i="4"/>
  <c r="D96" i="4" s="1"/>
  <c r="D276" i="1" s="1"/>
  <c r="D82" i="4"/>
  <c r="D92" i="4" s="1"/>
  <c r="D272" i="1" s="1"/>
  <c r="D83" i="4"/>
  <c r="D93" i="4" s="1"/>
  <c r="D273" i="1" s="1"/>
  <c r="D81" i="4"/>
  <c r="D91" i="4" s="1"/>
  <c r="D271" i="1" s="1"/>
  <c r="K78" i="4"/>
  <c r="K258" i="1" s="1"/>
  <c r="J78" i="4"/>
  <c r="J258" i="1" s="1"/>
  <c r="I78" i="4"/>
  <c r="I258" i="1" s="1"/>
  <c r="D78" i="4"/>
  <c r="D258" i="1" s="1"/>
  <c r="E19" i="1"/>
  <c r="E173" i="1" s="1"/>
  <c r="E20" i="1"/>
  <c r="E174" i="1" s="1"/>
  <c r="E21" i="1"/>
  <c r="E77" i="4" s="1"/>
  <c r="E257" i="1" s="1"/>
  <c r="E23" i="1"/>
  <c r="E78" i="4" s="1"/>
  <c r="E258" i="1" s="1"/>
  <c r="E24" i="1"/>
  <c r="E25" i="1"/>
  <c r="E27" i="1"/>
  <c r="E28" i="1"/>
  <c r="E94" i="6" s="1"/>
  <c r="E30" i="1"/>
  <c r="E31" i="1"/>
  <c r="E33" i="1"/>
  <c r="E34" i="1"/>
  <c r="E35" i="1"/>
  <c r="E239" i="1" s="1"/>
  <c r="E37" i="1"/>
  <c r="E245" i="1" s="1"/>
  <c r="E38" i="1"/>
  <c r="E246" i="1" s="1"/>
  <c r="E39" i="1"/>
  <c r="E247" i="1" s="1"/>
  <c r="E41" i="1"/>
  <c r="E99" i="6" s="1"/>
  <c r="E43" i="1"/>
  <c r="E44" i="1"/>
  <c r="E64" i="1"/>
  <c r="E65" i="1"/>
  <c r="E66" i="1"/>
  <c r="E67" i="1"/>
  <c r="E68" i="1"/>
  <c r="E69" i="1"/>
  <c r="E73" i="1"/>
  <c r="E74" i="1"/>
  <c r="E75" i="1"/>
  <c r="E76" i="1"/>
  <c r="E81" i="1"/>
  <c r="E82" i="1"/>
  <c r="E84" i="1"/>
  <c r="E86" i="1"/>
  <c r="E87" i="1"/>
  <c r="E88" i="1"/>
  <c r="E90" i="1"/>
  <c r="E91" i="1"/>
  <c r="E92" i="1"/>
  <c r="E102" i="1"/>
  <c r="E103" i="1"/>
  <c r="E104" i="1"/>
  <c r="E105" i="1"/>
  <c r="E106" i="1"/>
  <c r="E108" i="1"/>
  <c r="E210" i="1" s="1"/>
  <c r="E109" i="1"/>
  <c r="E110" i="1"/>
  <c r="E111" i="1"/>
  <c r="E112" i="1"/>
  <c r="E114" i="1"/>
  <c r="E119" i="1"/>
  <c r="E120" i="1"/>
  <c r="E121" i="1"/>
  <c r="E123" i="1"/>
  <c r="E124" i="1"/>
  <c r="E125" i="1"/>
  <c r="E126" i="1"/>
  <c r="E127" i="1"/>
  <c r="E129" i="1"/>
  <c r="E132" i="1"/>
  <c r="E133" i="1"/>
  <c r="E134" i="1"/>
  <c r="E135" i="1"/>
  <c r="D77" i="4"/>
  <c r="D257" i="1" s="1"/>
  <c r="E74" i="4"/>
  <c r="D74" i="4"/>
  <c r="E69" i="4"/>
  <c r="E56" i="4"/>
  <c r="E49" i="4"/>
  <c r="D47" i="4"/>
  <c r="F45" i="4"/>
  <c r="D33" i="4"/>
  <c r="D32" i="4"/>
  <c r="D36" i="5" a="1"/>
  <c r="D36" i="5" s="1"/>
  <c r="P35" i="5" a="1"/>
  <c r="P35" i="5" s="1"/>
  <c r="P32" i="4" s="1"/>
  <c r="P157" i="1" s="1"/>
  <c r="P163" i="1" s="1"/>
  <c r="O35" i="5" a="1"/>
  <c r="O35" i="5" s="1"/>
  <c r="O32" i="4" s="1"/>
  <c r="O157" i="1" s="1"/>
  <c r="O163" i="1" s="1"/>
  <c r="N35" i="5" a="1"/>
  <c r="N35" i="5" s="1"/>
  <c r="N32" i="4" s="1"/>
  <c r="N157" i="1" s="1"/>
  <c r="N163" i="1" s="1"/>
  <c r="M35" i="5" a="1"/>
  <c r="M35" i="5" s="1"/>
  <c r="M32" i="4" s="1"/>
  <c r="M157" i="1" s="1"/>
  <c r="M163" i="1" s="1"/>
  <c r="L35" i="5" a="1"/>
  <c r="L35" i="5" s="1"/>
  <c r="L32" i="4" s="1"/>
  <c r="L157" i="1" s="1"/>
  <c r="L163" i="1" s="1"/>
  <c r="D28" i="5" a="1"/>
  <c r="D28" i="5" s="1"/>
  <c r="P27" i="5" a="1"/>
  <c r="P27" i="5" s="1"/>
  <c r="P47" i="4" s="1"/>
  <c r="P186" i="1" s="1"/>
  <c r="O27" i="5" a="1"/>
  <c r="O27" i="5" s="1"/>
  <c r="O35" i="4" s="1"/>
  <c r="O167" i="1" s="1"/>
  <c r="N27" i="5" a="1"/>
  <c r="N27" i="5" s="1"/>
  <c r="N35" i="4" s="1"/>
  <c r="N167" i="1" s="1"/>
  <c r="M27" i="5" a="1"/>
  <c r="M27" i="5" s="1"/>
  <c r="M35" i="4" s="1"/>
  <c r="M167" i="1" s="1"/>
  <c r="L27" i="5" a="1"/>
  <c r="L27" i="5" s="1"/>
  <c r="L35" i="4" s="1"/>
  <c r="L167" i="1" s="1"/>
  <c r="M18" i="5" a="1"/>
  <c r="M18" i="5" s="1"/>
  <c r="M33" i="4" s="1"/>
  <c r="M158" i="1" s="1"/>
  <c r="N18" i="5" a="1"/>
  <c r="N18" i="5" s="1"/>
  <c r="N33" i="4" s="1"/>
  <c r="N158" i="1" s="1"/>
  <c r="O18" i="5" a="1"/>
  <c r="O18" i="5" s="1"/>
  <c r="O33" i="4" s="1"/>
  <c r="O158" i="1" s="1"/>
  <c r="P18" i="5" a="1"/>
  <c r="P18" i="5" s="1"/>
  <c r="P33" i="4" s="1"/>
  <c r="P158" i="1" s="1"/>
  <c r="L18" i="5" a="1"/>
  <c r="L18" i="5" s="1"/>
  <c r="L33" i="4" s="1"/>
  <c r="L158" i="1" s="1"/>
  <c r="D19" i="5" a="1"/>
  <c r="D19" i="5" s="1"/>
  <c r="D7" i="5" a="1"/>
  <c r="D7" i="5" s="1"/>
  <c r="K3" i="5" s="1"/>
  <c r="I10" i="4"/>
  <c r="I74" i="4" s="1"/>
  <c r="J5" i="6"/>
  <c r="K5" i="6" s="1"/>
  <c r="L5" i="6" s="1"/>
  <c r="I3" i="6"/>
  <c r="J5" i="5"/>
  <c r="K5" i="5" s="1"/>
  <c r="L5" i="5" s="1"/>
  <c r="I3" i="5"/>
  <c r="J5" i="4"/>
  <c r="K5" i="4" s="1"/>
  <c r="L5" i="4" s="1"/>
  <c r="L10" i="4" s="1"/>
  <c r="L74" i="4" s="1"/>
  <c r="B5" i="3"/>
  <c r="B3" i="3"/>
  <c r="J127" i="1"/>
  <c r="K127" i="1"/>
  <c r="J112" i="1"/>
  <c r="K112" i="1"/>
  <c r="J106" i="1"/>
  <c r="K106" i="1"/>
  <c r="J76" i="1"/>
  <c r="K76" i="1"/>
  <c r="J69" i="1"/>
  <c r="K69" i="1"/>
  <c r="J39" i="1"/>
  <c r="K39" i="1"/>
  <c r="J25" i="1"/>
  <c r="K25" i="1"/>
  <c r="J21" i="1"/>
  <c r="J77" i="4" s="1"/>
  <c r="J257" i="1" s="1"/>
  <c r="K21" i="1"/>
  <c r="K77" i="4" s="1"/>
  <c r="K257" i="1" s="1"/>
  <c r="J5" i="1"/>
  <c r="K5" i="1" s="1"/>
  <c r="L5" i="1" s="1"/>
  <c r="L214" i="1" s="1"/>
  <c r="I21" i="1"/>
  <c r="I77" i="4" s="1"/>
  <c r="I257" i="1" s="1"/>
  <c r="K3" i="6" l="1"/>
  <c r="K3" i="1"/>
  <c r="K3" i="4"/>
  <c r="J90" i="6"/>
  <c r="J16" i="1"/>
  <c r="I90" i="6"/>
  <c r="K90" i="6"/>
  <c r="J15" i="1"/>
  <c r="E90" i="6"/>
  <c r="P35" i="4"/>
  <c r="P167" i="1" s="1"/>
  <c r="O47" i="4"/>
  <c r="O186" i="1" s="1"/>
  <c r="L47" i="4"/>
  <c r="L186" i="1" s="1"/>
  <c r="N47" i="4"/>
  <c r="N186" i="1" s="1"/>
  <c r="M47" i="4"/>
  <c r="M186" i="1" s="1"/>
  <c r="M198" i="1" s="1"/>
  <c r="O76" i="1"/>
  <c r="O366" i="1" s="1"/>
  <c r="P83" i="1"/>
  <c r="P369" i="1" s="1"/>
  <c r="L73" i="1"/>
  <c r="L76" i="1" s="1"/>
  <c r="L366" i="1" s="1"/>
  <c r="N369" i="1"/>
  <c r="O369" i="1"/>
  <c r="O109" i="1"/>
  <c r="M369" i="1"/>
  <c r="P73" i="1"/>
  <c r="P76" i="1" s="1"/>
  <c r="P366" i="1" s="1"/>
  <c r="N73" i="1"/>
  <c r="N76" i="1" s="1"/>
  <c r="N366" i="1" s="1"/>
  <c r="M73" i="1"/>
  <c r="M76" i="1" s="1"/>
  <c r="M366" i="1" s="1"/>
  <c r="L341" i="1"/>
  <c r="L292" i="1"/>
  <c r="D317" i="1"/>
  <c r="D340" i="1" s="1"/>
  <c r="D349" i="1" s="1"/>
  <c r="D358" i="1" s="1"/>
  <c r="L318" i="1"/>
  <c r="D319" i="1"/>
  <c r="D342" i="1" s="1"/>
  <c r="D351" i="1" s="1"/>
  <c r="D360" i="1" s="1"/>
  <c r="O246" i="1"/>
  <c r="O38" i="1" s="1"/>
  <c r="O66" i="1" s="1"/>
  <c r="L302" i="1"/>
  <c r="J216" i="1" a="1"/>
  <c r="J216" i="1" s="1"/>
  <c r="K195" i="1"/>
  <c r="D263" i="1"/>
  <c r="L246" i="1"/>
  <c r="L38" i="1" s="1"/>
  <c r="L66" i="1" s="1"/>
  <c r="L125" i="1" s="1"/>
  <c r="P246" i="1"/>
  <c r="P38" i="1" s="1"/>
  <c r="P66" i="1" s="1"/>
  <c r="M246" i="1"/>
  <c r="M38" i="1" s="1"/>
  <c r="M66" i="1" s="1"/>
  <c r="N246" i="1"/>
  <c r="N38" i="1" s="1"/>
  <c r="N66" i="1" s="1"/>
  <c r="D262" i="1"/>
  <c r="D261" i="1"/>
  <c r="O228" i="1"/>
  <c r="D267" i="1"/>
  <c r="D266" i="1"/>
  <c r="L212" i="1"/>
  <c r="P212" i="1"/>
  <c r="O212" i="1"/>
  <c r="N212" i="1"/>
  <c r="K194" i="1"/>
  <c r="D194" i="1"/>
  <c r="L153" i="1"/>
  <c r="P153" i="1"/>
  <c r="O153" i="1"/>
  <c r="N153" i="1"/>
  <c r="D163" i="1"/>
  <c r="L168" i="1"/>
  <c r="E175" i="1"/>
  <c r="K175" i="1"/>
  <c r="K161" i="1" s="1"/>
  <c r="J28" i="1"/>
  <c r="J114" i="1"/>
  <c r="J52" i="1" s="1"/>
  <c r="J107" i="6" s="1"/>
  <c r="K114" i="1"/>
  <c r="K52" i="1" s="1"/>
  <c r="K107" i="6" s="1"/>
  <c r="J84" i="4"/>
  <c r="J264" i="1" s="1"/>
  <c r="I96" i="4"/>
  <c r="I276" i="1" s="1"/>
  <c r="J10" i="4"/>
  <c r="J74" i="4" s="1"/>
  <c r="J97" i="4" s="1"/>
  <c r="J277" i="1" s="1"/>
  <c r="J88" i="4"/>
  <c r="J268" i="1" s="1"/>
  <c r="I92" i="4"/>
  <c r="I272" i="1" s="1"/>
  <c r="I88" i="4"/>
  <c r="I268" i="1" s="1"/>
  <c r="I93" i="4"/>
  <c r="I273" i="1" s="1"/>
  <c r="I91" i="4"/>
  <c r="I271" i="1" s="1"/>
  <c r="K88" i="4"/>
  <c r="K268" i="1" s="1"/>
  <c r="M5" i="1"/>
  <c r="K28" i="1"/>
  <c r="I84" i="4"/>
  <c r="I264" i="1" s="1"/>
  <c r="K84" i="4"/>
  <c r="K264" i="1" s="1"/>
  <c r="I97" i="4"/>
  <c r="I277" i="1" s="1"/>
  <c r="K10" i="4"/>
  <c r="K74" i="4" s="1"/>
  <c r="K97" i="4" s="1"/>
  <c r="K277" i="1" s="1"/>
  <c r="M5" i="6"/>
  <c r="N5" i="6" s="1"/>
  <c r="O5" i="6" s="1"/>
  <c r="P5" i="6" s="1"/>
  <c r="I2" i="6" s="1"/>
  <c r="M5" i="5"/>
  <c r="N5" i="5" s="1"/>
  <c r="O5" i="5" s="1"/>
  <c r="P5" i="5" s="1"/>
  <c r="I2" i="5" s="1"/>
  <c r="M5" i="4"/>
  <c r="I127" i="1"/>
  <c r="I112" i="1"/>
  <c r="I106" i="1"/>
  <c r="K188" i="1" l="1"/>
  <c r="K191" i="1" s="1"/>
  <c r="L191" i="1" s="1"/>
  <c r="L160" i="1"/>
  <c r="L161" i="1" s="1"/>
  <c r="J91" i="6"/>
  <c r="K91" i="6"/>
  <c r="J51" i="1"/>
  <c r="J106" i="6" s="1"/>
  <c r="J31" i="1"/>
  <c r="J35" i="1" s="1"/>
  <c r="J41" i="1" s="1"/>
  <c r="J94" i="6"/>
  <c r="J47" i="1"/>
  <c r="J95" i="6" s="1"/>
  <c r="L195" i="1"/>
  <c r="M195" i="1" s="1"/>
  <c r="N195" i="1" s="1"/>
  <c r="O195" i="1" s="1"/>
  <c r="P195" i="1" s="1"/>
  <c r="K51" i="1"/>
  <c r="K106" i="6" s="1"/>
  <c r="K94" i="6"/>
  <c r="K47" i="1"/>
  <c r="K95" i="6" s="1"/>
  <c r="M125" i="1"/>
  <c r="N125" i="1" s="1"/>
  <c r="O125" i="1" s="1"/>
  <c r="P125" i="1" s="1"/>
  <c r="M290" i="1"/>
  <c r="M292" i="1" s="1"/>
  <c r="M131" i="1" s="1"/>
  <c r="L131" i="1"/>
  <c r="L342" i="1"/>
  <c r="L81" i="1"/>
  <c r="L367" i="1" s="1"/>
  <c r="L319" i="1"/>
  <c r="L124" i="1" s="1"/>
  <c r="L82" i="1"/>
  <c r="L368" i="1" s="1"/>
  <c r="M300" i="1"/>
  <c r="M302" i="1" s="1"/>
  <c r="L132" i="1"/>
  <c r="P109" i="1"/>
  <c r="L294" i="1"/>
  <c r="N198" i="1"/>
  <c r="M24" i="1"/>
  <c r="K31" i="1"/>
  <c r="K35" i="1" s="1"/>
  <c r="K41" i="1" s="1"/>
  <c r="K338" i="1"/>
  <c r="F326" i="1" s="1"/>
  <c r="N5" i="1"/>
  <c r="M214" i="1"/>
  <c r="K279" i="1"/>
  <c r="M168" i="1"/>
  <c r="L174" i="1"/>
  <c r="L20" i="1" s="1"/>
  <c r="K93" i="4"/>
  <c r="K273" i="1" s="1"/>
  <c r="J96" i="4"/>
  <c r="J276" i="1" s="1"/>
  <c r="J92" i="4"/>
  <c r="J272" i="1" s="1"/>
  <c r="J91" i="4"/>
  <c r="J271" i="1" s="1"/>
  <c r="J93" i="4"/>
  <c r="J273" i="1" s="1"/>
  <c r="K92" i="4"/>
  <c r="K272" i="1" s="1"/>
  <c r="K96" i="4"/>
  <c r="K276" i="1" s="1"/>
  <c r="K91" i="4"/>
  <c r="K271" i="1" s="1"/>
  <c r="N5" i="4"/>
  <c r="M10" i="4"/>
  <c r="M74" i="4" s="1"/>
  <c r="I3" i="4"/>
  <c r="I114" i="1"/>
  <c r="J129" i="1"/>
  <c r="J137" i="1" s="1"/>
  <c r="J141" i="1" s="1"/>
  <c r="I129" i="1"/>
  <c r="I137" i="1" s="1"/>
  <c r="K129" i="1"/>
  <c r="K137" i="1" s="1"/>
  <c r="K141" i="1" s="1"/>
  <c r="I76" i="1"/>
  <c r="I69" i="1"/>
  <c r="I39" i="1"/>
  <c r="I25" i="1"/>
  <c r="I28" i="1" s="1"/>
  <c r="K96" i="6" l="1"/>
  <c r="L321" i="1"/>
  <c r="L377" i="1" s="1"/>
  <c r="I51" i="1"/>
  <c r="I106" i="6" s="1"/>
  <c r="I52" i="1"/>
  <c r="I107" i="6" s="1"/>
  <c r="K44" i="1"/>
  <c r="K49" i="1" s="1"/>
  <c r="K104" i="6" s="1"/>
  <c r="K50" i="1"/>
  <c r="K99" i="6"/>
  <c r="I94" i="6"/>
  <c r="J96" i="6" s="1"/>
  <c r="I47" i="1"/>
  <c r="I95" i="6" s="1"/>
  <c r="J44" i="1"/>
  <c r="J49" i="1" s="1"/>
  <c r="J104" i="6" s="1"/>
  <c r="J99" i="6"/>
  <c r="J50" i="1"/>
  <c r="M317" i="1"/>
  <c r="M318" i="1" s="1"/>
  <c r="M82" i="1" s="1"/>
  <c r="M368" i="1" s="1"/>
  <c r="N290" i="1"/>
  <c r="N292" i="1" s="1"/>
  <c r="N294" i="1" s="1"/>
  <c r="N85" i="1" s="1"/>
  <c r="N300" i="1"/>
  <c r="N302" i="1" s="1"/>
  <c r="M132" i="1"/>
  <c r="M340" i="1"/>
  <c r="L123" i="1"/>
  <c r="L127" i="1" s="1"/>
  <c r="M294" i="1"/>
  <c r="M85" i="1" s="1"/>
  <c r="M371" i="1" s="1"/>
  <c r="L85" i="1"/>
  <c r="L43" i="1"/>
  <c r="L344" i="1"/>
  <c r="L378" i="1" s="1"/>
  <c r="O198" i="1"/>
  <c r="N24" i="1"/>
  <c r="O5" i="1"/>
  <c r="N214" i="1"/>
  <c r="M191" i="1"/>
  <c r="L175" i="1"/>
  <c r="L173" i="1" s="1"/>
  <c r="L19" i="1" s="1"/>
  <c r="L21" i="1" s="1"/>
  <c r="L90" i="6" s="1"/>
  <c r="L91" i="6" s="1"/>
  <c r="L188" i="1"/>
  <c r="L194" i="1" s="1"/>
  <c r="L196" i="1" s="1"/>
  <c r="L23" i="1" s="1"/>
  <c r="N168" i="1"/>
  <c r="M174" i="1"/>
  <c r="M20" i="1" s="1"/>
  <c r="M160" i="1"/>
  <c r="M161" i="1" s="1"/>
  <c r="O5" i="4"/>
  <c r="N10" i="4"/>
  <c r="N74" i="4" s="1"/>
  <c r="I141" i="1"/>
  <c r="I31" i="1"/>
  <c r="I35" i="1" s="1"/>
  <c r="I41" i="1" s="1"/>
  <c r="K15" i="1"/>
  <c r="K16" i="1"/>
  <c r="J17" i="1"/>
  <c r="K17" i="1"/>
  <c r="K101" i="6" l="1"/>
  <c r="K100" i="6"/>
  <c r="K105" i="6"/>
  <c r="I44" i="1"/>
  <c r="I49" i="1" s="1"/>
  <c r="I104" i="6" s="1"/>
  <c r="I99" i="6"/>
  <c r="J101" i="6" s="1"/>
  <c r="I50" i="1"/>
  <c r="J100" i="6"/>
  <c r="J105" i="6"/>
  <c r="O290" i="1"/>
  <c r="O292" i="1" s="1"/>
  <c r="O294" i="1" s="1"/>
  <c r="O85" i="1" s="1"/>
  <c r="O371" i="1" s="1"/>
  <c r="N131" i="1"/>
  <c r="M319" i="1"/>
  <c r="N317" i="1" s="1"/>
  <c r="N318" i="1" s="1"/>
  <c r="N43" i="1"/>
  <c r="M341" i="1"/>
  <c r="M81" i="1" s="1"/>
  <c r="M367" i="1" s="1"/>
  <c r="M43" i="1"/>
  <c r="O300" i="1"/>
  <c r="O302" i="1" s="1"/>
  <c r="N132" i="1"/>
  <c r="L371" i="1"/>
  <c r="N371" i="1"/>
  <c r="L257" i="1"/>
  <c r="L261" i="1" s="1"/>
  <c r="L103" i="1" s="1"/>
  <c r="L17" i="1"/>
  <c r="L15" i="1"/>
  <c r="L258" i="1"/>
  <c r="L25" i="1"/>
  <c r="L28" i="1" s="1"/>
  <c r="L16" i="1"/>
  <c r="P198" i="1"/>
  <c r="P24" i="1" s="1"/>
  <c r="O24" i="1"/>
  <c r="P5" i="1"/>
  <c r="O214" i="1"/>
  <c r="N191" i="1"/>
  <c r="M175" i="1"/>
  <c r="M173" i="1" s="1"/>
  <c r="M19" i="1" s="1"/>
  <c r="M21" i="1" s="1"/>
  <c r="M90" i="6" s="1"/>
  <c r="M91" i="6" s="1"/>
  <c r="M188" i="1"/>
  <c r="M194" i="1" s="1"/>
  <c r="M196" i="1" s="1"/>
  <c r="M23" i="1" s="1"/>
  <c r="O168" i="1"/>
  <c r="N174" i="1"/>
  <c r="N20" i="1" s="1"/>
  <c r="N160" i="1"/>
  <c r="N161" i="1" s="1"/>
  <c r="P5" i="4"/>
  <c r="O10" i="4"/>
  <c r="O74" i="4" s="1"/>
  <c r="I16" i="1"/>
  <c r="I17" i="1"/>
  <c r="I100" i="1"/>
  <c r="B96" i="1"/>
  <c r="B99" i="1"/>
  <c r="B59" i="1"/>
  <c r="P290" i="1" l="1"/>
  <c r="P292" i="1" s="1"/>
  <c r="P294" i="1" s="1"/>
  <c r="P85" i="1" s="1"/>
  <c r="P371" i="1" s="1"/>
  <c r="M321" i="1"/>
  <c r="M377" i="1" s="1"/>
  <c r="O131" i="1"/>
  <c r="M124" i="1"/>
  <c r="I100" i="6"/>
  <c r="I105" i="6"/>
  <c r="L94" i="6"/>
  <c r="L47" i="1"/>
  <c r="L95" i="6" s="1"/>
  <c r="M342" i="1"/>
  <c r="N340" i="1" s="1"/>
  <c r="N341" i="1" s="1"/>
  <c r="O43" i="1"/>
  <c r="N319" i="1"/>
  <c r="O317" i="1" s="1"/>
  <c r="N82" i="1"/>
  <c r="N368" i="1" s="1"/>
  <c r="P300" i="1"/>
  <c r="P302" i="1" s="1"/>
  <c r="P132" i="1" s="1"/>
  <c r="O132" i="1"/>
  <c r="M257" i="1"/>
  <c r="M261" i="1" s="1"/>
  <c r="M103" i="1" s="1"/>
  <c r="M15" i="1"/>
  <c r="M17" i="1"/>
  <c r="L262" i="1"/>
  <c r="L104" i="1" s="1"/>
  <c r="L266" i="1"/>
  <c r="L119" i="1" s="1"/>
  <c r="L263" i="1"/>
  <c r="L105" i="1" s="1"/>
  <c r="L267" i="1"/>
  <c r="L120" i="1" s="1"/>
  <c r="M258" i="1"/>
  <c r="M25" i="1"/>
  <c r="M28" i="1" s="1"/>
  <c r="M16" i="1"/>
  <c r="I2" i="1"/>
  <c r="P214" i="1"/>
  <c r="I216" i="1" s="1" a="1"/>
  <c r="O191" i="1"/>
  <c r="N175" i="1"/>
  <c r="N173" i="1" s="1"/>
  <c r="N19" i="1" s="1"/>
  <c r="N21" i="1" s="1"/>
  <c r="N90" i="6" s="1"/>
  <c r="N91" i="6" s="1"/>
  <c r="N188" i="1"/>
  <c r="N194" i="1" s="1"/>
  <c r="N196" i="1" s="1"/>
  <c r="N23" i="1" s="1"/>
  <c r="O160" i="1"/>
  <c r="O161" i="1" s="1"/>
  <c r="P168" i="1"/>
  <c r="P174" i="1" s="1"/>
  <c r="P20" i="1" s="1"/>
  <c r="O174" i="1"/>
  <c r="O20" i="1" s="1"/>
  <c r="P10" i="4"/>
  <c r="P74" i="4" s="1"/>
  <c r="I2" i="4"/>
  <c r="I90" i="1"/>
  <c r="I92" i="1" s="1"/>
  <c r="J91" i="1" s="1"/>
  <c r="I61" i="1"/>
  <c r="B56" i="1"/>
  <c r="J13" i="1"/>
  <c r="P131" i="1" l="1"/>
  <c r="M94" i="6"/>
  <c r="M96" i="6" s="1"/>
  <c r="M47" i="1"/>
  <c r="M95" i="6" s="1"/>
  <c r="L96" i="6"/>
  <c r="M344" i="1"/>
  <c r="M378" i="1" s="1"/>
  <c r="N321" i="1"/>
  <c r="N377" i="1" s="1"/>
  <c r="P43" i="1"/>
  <c r="M123" i="1"/>
  <c r="M127" i="1" s="1"/>
  <c r="N124" i="1"/>
  <c r="N342" i="1"/>
  <c r="N81" i="1"/>
  <c r="N367" i="1" s="1"/>
  <c r="L264" i="1"/>
  <c r="L268" i="1"/>
  <c r="N25" i="1"/>
  <c r="N28" i="1" s="1"/>
  <c r="N16" i="1"/>
  <c r="N258" i="1"/>
  <c r="N257" i="1"/>
  <c r="N261" i="1" s="1"/>
  <c r="N103" i="1" s="1"/>
  <c r="N15" i="1"/>
  <c r="N17" i="1"/>
  <c r="M266" i="1"/>
  <c r="M119" i="1" s="1"/>
  <c r="M267" i="1"/>
  <c r="M120" i="1" s="1"/>
  <c r="M263" i="1"/>
  <c r="M105" i="1" s="1"/>
  <c r="M262" i="1"/>
  <c r="M104" i="1" s="1"/>
  <c r="O318" i="1"/>
  <c r="P218" i="1"/>
  <c r="P219" i="1"/>
  <c r="P220" i="1"/>
  <c r="P217" i="1"/>
  <c r="I216" i="1"/>
  <c r="P216" i="1" s="1"/>
  <c r="M217" i="1"/>
  <c r="N218" i="1"/>
  <c r="N217" i="1"/>
  <c r="O217" i="1"/>
  <c r="O218" i="1"/>
  <c r="O219" i="1"/>
  <c r="P191" i="1"/>
  <c r="O175" i="1"/>
  <c r="O173" i="1" s="1"/>
  <c r="O19" i="1" s="1"/>
  <c r="O21" i="1" s="1"/>
  <c r="O90" i="6" s="1"/>
  <c r="O91" i="6" s="1"/>
  <c r="O188" i="1"/>
  <c r="O194" i="1" s="1"/>
  <c r="O196" i="1" s="1"/>
  <c r="O23" i="1" s="1"/>
  <c r="P160" i="1"/>
  <c r="J100" i="1"/>
  <c r="K13" i="1"/>
  <c r="L13" i="1" s="1"/>
  <c r="J61" i="1"/>
  <c r="N47" i="1" l="1"/>
  <c r="N95" i="6" s="1"/>
  <c r="N94" i="6"/>
  <c r="O340" i="1"/>
  <c r="O341" i="1" s="1"/>
  <c r="N123" i="1"/>
  <c r="N127" i="1" s="1"/>
  <c r="N344" i="1"/>
  <c r="N378" i="1" s="1"/>
  <c r="O319" i="1"/>
  <c r="O321" i="1" s="1"/>
  <c r="O377" i="1" s="1"/>
  <c r="O82" i="1"/>
  <c r="O368" i="1" s="1"/>
  <c r="M264" i="1"/>
  <c r="L279" i="1"/>
  <c r="L281" i="1" s="1"/>
  <c r="L67" i="1" s="1"/>
  <c r="M268" i="1"/>
  <c r="N263" i="1"/>
  <c r="N105" i="1" s="1"/>
  <c r="N262" i="1"/>
  <c r="N104" i="1" s="1"/>
  <c r="N266" i="1"/>
  <c r="N119" i="1" s="1"/>
  <c r="N267" i="1"/>
  <c r="N120" i="1" s="1"/>
  <c r="O257" i="1"/>
  <c r="O261" i="1" s="1"/>
  <c r="O103" i="1" s="1"/>
  <c r="O15" i="1"/>
  <c r="O17" i="1"/>
  <c r="O258" i="1"/>
  <c r="O25" i="1"/>
  <c r="O28" i="1" s="1"/>
  <c r="O16" i="1"/>
  <c r="P222" i="1"/>
  <c r="P224" i="1" s="1"/>
  <c r="M216" i="1"/>
  <c r="M222" i="1" s="1"/>
  <c r="M224" i="1" s="1"/>
  <c r="N216" i="1"/>
  <c r="N222" i="1" s="1"/>
  <c r="N224" i="1" s="1"/>
  <c r="O216" i="1"/>
  <c r="O222" i="1" s="1"/>
  <c r="O224" i="1" s="1"/>
  <c r="P161" i="1"/>
  <c r="M13" i="1"/>
  <c r="L61" i="1"/>
  <c r="K100" i="1"/>
  <c r="K61" i="1"/>
  <c r="L222" i="1" l="1"/>
  <c r="L224" i="1" s="1"/>
  <c r="P317" i="1"/>
  <c r="P318" i="1" s="1"/>
  <c r="N96" i="6"/>
  <c r="O94" i="6"/>
  <c r="O96" i="6" s="1"/>
  <c r="O47" i="1"/>
  <c r="O95" i="6" s="1"/>
  <c r="O124" i="1"/>
  <c r="O342" i="1"/>
  <c r="O81" i="1"/>
  <c r="O367" i="1" s="1"/>
  <c r="M279" i="1"/>
  <c r="M281" i="1" s="1"/>
  <c r="M67" i="1" s="1"/>
  <c r="N264" i="1"/>
  <c r="P229" i="1"/>
  <c r="P30" i="1"/>
  <c r="P65" i="1" s="1"/>
  <c r="N229" i="1"/>
  <c r="N30" i="1"/>
  <c r="O266" i="1"/>
  <c r="O119" i="1" s="1"/>
  <c r="O267" i="1"/>
  <c r="O120" i="1" s="1"/>
  <c r="O263" i="1"/>
  <c r="O105" i="1" s="1"/>
  <c r="O262" i="1"/>
  <c r="O104" i="1" s="1"/>
  <c r="N268" i="1"/>
  <c r="O229" i="1"/>
  <c r="O30" i="1"/>
  <c r="M229" i="1"/>
  <c r="M30" i="1"/>
  <c r="P175" i="1"/>
  <c r="P173" i="1" s="1"/>
  <c r="P19" i="1" s="1"/>
  <c r="P21" i="1" s="1"/>
  <c r="P90" i="6" s="1"/>
  <c r="P91" i="6" s="1"/>
  <c r="P188" i="1"/>
  <c r="P194" i="1" s="1"/>
  <c r="P196" i="1" s="1"/>
  <c r="P23" i="1" s="1"/>
  <c r="N13" i="1"/>
  <c r="M61" i="1"/>
  <c r="K90" i="1"/>
  <c r="J90" i="1"/>
  <c r="J92" i="1" s="1"/>
  <c r="L229" i="1" l="1"/>
  <c r="L230" i="1" s="1"/>
  <c r="M227" i="1" s="1"/>
  <c r="M230" i="1" s="1"/>
  <c r="L30" i="1"/>
  <c r="L65" i="1" s="1"/>
  <c r="P319" i="1"/>
  <c r="P124" i="1" s="1"/>
  <c r="P82" i="1"/>
  <c r="P368" i="1" s="1"/>
  <c r="P340" i="1"/>
  <c r="P341" i="1" s="1"/>
  <c r="O123" i="1"/>
  <c r="O127" i="1" s="1"/>
  <c r="O344" i="1"/>
  <c r="O378" i="1" s="1"/>
  <c r="M31" i="1"/>
  <c r="M65" i="1"/>
  <c r="N31" i="1"/>
  <c r="N65" i="1"/>
  <c r="O31" i="1"/>
  <c r="O65" i="1"/>
  <c r="N279" i="1"/>
  <c r="N281" i="1" s="1"/>
  <c r="N67" i="1" s="1"/>
  <c r="O264" i="1"/>
  <c r="P258" i="1"/>
  <c r="P16" i="1"/>
  <c r="P25" i="1"/>
  <c r="P28" i="1" s="1"/>
  <c r="O268" i="1"/>
  <c r="P257" i="1"/>
  <c r="P261" i="1" s="1"/>
  <c r="P103" i="1" s="1"/>
  <c r="P15" i="1"/>
  <c r="P17" i="1"/>
  <c r="O13" i="1"/>
  <c r="N61" i="1"/>
  <c r="K91" i="1"/>
  <c r="K92" i="1" s="1"/>
  <c r="L91" i="1" s="1"/>
  <c r="L31" i="1" l="1"/>
  <c r="L108" i="1"/>
  <c r="L112" i="1" s="1"/>
  <c r="P321" i="1"/>
  <c r="P377" i="1" s="1"/>
  <c r="P31" i="1"/>
  <c r="P47" i="1"/>
  <c r="P95" i="6" s="1"/>
  <c r="P94" i="6"/>
  <c r="P96" i="6" s="1"/>
  <c r="P342" i="1"/>
  <c r="P81" i="1"/>
  <c r="P367" i="1" s="1"/>
  <c r="N227" i="1"/>
  <c r="N230" i="1" s="1"/>
  <c r="M108" i="1"/>
  <c r="M112" i="1" s="1"/>
  <c r="O279" i="1"/>
  <c r="O281" i="1" s="1"/>
  <c r="O67" i="1" s="1"/>
  <c r="P267" i="1"/>
  <c r="P120" i="1" s="1"/>
  <c r="P263" i="1"/>
  <c r="P105" i="1" s="1"/>
  <c r="P262" i="1"/>
  <c r="P104" i="1" s="1"/>
  <c r="P266" i="1"/>
  <c r="P119" i="1" s="1"/>
  <c r="P13" i="1"/>
  <c r="P61" i="1" s="1"/>
  <c r="O61" i="1"/>
  <c r="O227" i="1" l="1"/>
  <c r="O230" i="1" s="1"/>
  <c r="N108" i="1"/>
  <c r="N112" i="1" s="1"/>
  <c r="P344" i="1"/>
  <c r="P378" i="1" s="1"/>
  <c r="P123" i="1"/>
  <c r="P127" i="1" s="1"/>
  <c r="P264" i="1"/>
  <c r="P268" i="1"/>
  <c r="P227" i="1" l="1"/>
  <c r="P230" i="1" s="1"/>
  <c r="P108" i="1" s="1"/>
  <c r="P112" i="1" s="1"/>
  <c r="O108" i="1"/>
  <c r="O112" i="1" s="1"/>
  <c r="P279" i="1"/>
  <c r="P281" i="1" s="1"/>
  <c r="P67" i="1" s="1"/>
  <c r="I3" i="1"/>
  <c r="L34" i="1"/>
  <c r="M34" i="1"/>
  <c r="N34" i="1"/>
  <c r="O34" i="1"/>
  <c r="P34" i="1"/>
  <c r="L35" i="1"/>
  <c r="M35" i="1"/>
  <c r="N35" i="1"/>
  <c r="O35" i="1"/>
  <c r="P35" i="1"/>
  <c r="L37" i="1"/>
  <c r="M37" i="1"/>
  <c r="N37" i="1"/>
  <c r="O37" i="1"/>
  <c r="P37" i="1"/>
  <c r="L39" i="1"/>
  <c r="M39" i="1"/>
  <c r="N39" i="1"/>
  <c r="O39" i="1"/>
  <c r="P39" i="1"/>
  <c r="L41" i="1"/>
  <c r="M41" i="1"/>
  <c r="N41" i="1"/>
  <c r="O41" i="1"/>
  <c r="P41" i="1"/>
  <c r="L44" i="1"/>
  <c r="M44" i="1"/>
  <c r="N44" i="1"/>
  <c r="O44" i="1"/>
  <c r="P44" i="1"/>
  <c r="L49" i="1"/>
  <c r="M49" i="1"/>
  <c r="N49" i="1"/>
  <c r="O49" i="1"/>
  <c r="P49" i="1"/>
  <c r="L50" i="1"/>
  <c r="M50" i="1"/>
  <c r="N50" i="1"/>
  <c r="O50" i="1"/>
  <c r="P50" i="1"/>
  <c r="L51" i="1"/>
  <c r="M51" i="1"/>
  <c r="N51" i="1"/>
  <c r="O51" i="1"/>
  <c r="P51" i="1"/>
  <c r="L52" i="1"/>
  <c r="M52" i="1"/>
  <c r="N52" i="1"/>
  <c r="O52" i="1"/>
  <c r="P52" i="1"/>
  <c r="L64" i="1"/>
  <c r="M64" i="1"/>
  <c r="N64" i="1"/>
  <c r="O64" i="1"/>
  <c r="P64" i="1"/>
  <c r="L69" i="1"/>
  <c r="M69" i="1"/>
  <c r="N69" i="1"/>
  <c r="O69" i="1"/>
  <c r="P69" i="1"/>
  <c r="L80" i="1"/>
  <c r="M80" i="1"/>
  <c r="N80" i="1"/>
  <c r="O80" i="1"/>
  <c r="P80" i="1"/>
  <c r="L86" i="1"/>
  <c r="M86" i="1"/>
  <c r="N86" i="1"/>
  <c r="O86" i="1"/>
  <c r="P86" i="1"/>
  <c r="L88" i="1"/>
  <c r="M88" i="1"/>
  <c r="N88" i="1"/>
  <c r="O88" i="1"/>
  <c r="P88" i="1"/>
  <c r="L90" i="1"/>
  <c r="M90" i="1"/>
  <c r="N90" i="1"/>
  <c r="O90" i="1"/>
  <c r="P90" i="1"/>
  <c r="M91" i="1"/>
  <c r="N91" i="1"/>
  <c r="O91" i="1"/>
  <c r="P91" i="1"/>
  <c r="L92" i="1"/>
  <c r="M92" i="1"/>
  <c r="N92" i="1"/>
  <c r="O92" i="1"/>
  <c r="P92" i="1"/>
  <c r="L102" i="1"/>
  <c r="M102" i="1"/>
  <c r="N102" i="1"/>
  <c r="O102" i="1"/>
  <c r="P102" i="1"/>
  <c r="L106" i="1"/>
  <c r="M106" i="1"/>
  <c r="N106" i="1"/>
  <c r="O106" i="1"/>
  <c r="P106" i="1"/>
  <c r="L114" i="1"/>
  <c r="M114" i="1"/>
  <c r="N114" i="1"/>
  <c r="O114" i="1"/>
  <c r="P114" i="1"/>
  <c r="L118" i="1"/>
  <c r="M118" i="1"/>
  <c r="N118" i="1"/>
  <c r="O118" i="1"/>
  <c r="P118" i="1"/>
  <c r="L121" i="1"/>
  <c r="M121" i="1"/>
  <c r="N121" i="1"/>
  <c r="O121" i="1"/>
  <c r="P121" i="1"/>
  <c r="L129" i="1"/>
  <c r="M129" i="1"/>
  <c r="N129" i="1"/>
  <c r="O129" i="1"/>
  <c r="P129" i="1"/>
  <c r="L133" i="1"/>
  <c r="M133" i="1"/>
  <c r="N133" i="1"/>
  <c r="O133" i="1"/>
  <c r="P133" i="1"/>
  <c r="L135" i="1"/>
  <c r="M135" i="1"/>
  <c r="N135" i="1"/>
  <c r="O135" i="1"/>
  <c r="P135" i="1"/>
  <c r="L137" i="1"/>
  <c r="M137" i="1"/>
  <c r="N137" i="1"/>
  <c r="O137" i="1"/>
  <c r="P137" i="1"/>
  <c r="E141" i="1"/>
  <c r="L141" i="1"/>
  <c r="M141" i="1"/>
  <c r="N141" i="1"/>
  <c r="O141" i="1"/>
  <c r="P141" i="1"/>
  <c r="L239" i="1"/>
  <c r="M239" i="1"/>
  <c r="N239" i="1"/>
  <c r="O239" i="1"/>
  <c r="P239" i="1"/>
  <c r="L241" i="1"/>
  <c r="M241" i="1"/>
  <c r="N241" i="1"/>
  <c r="O241" i="1"/>
  <c r="P241" i="1"/>
  <c r="L243" i="1"/>
  <c r="M243" i="1"/>
  <c r="N243" i="1"/>
  <c r="O243" i="1"/>
  <c r="P243" i="1"/>
  <c r="L245" i="1"/>
  <c r="M245" i="1"/>
  <c r="N245" i="1"/>
  <c r="O245" i="1"/>
  <c r="P245" i="1"/>
  <c r="L247" i="1"/>
  <c r="M247" i="1"/>
  <c r="N247" i="1"/>
  <c r="O247" i="1"/>
  <c r="P247" i="1"/>
  <c r="L249" i="1"/>
  <c r="M249" i="1"/>
  <c r="N249" i="1"/>
  <c r="O249" i="1"/>
  <c r="P249" i="1"/>
  <c r="M305" i="1"/>
  <c r="N305" i="1"/>
  <c r="O305" i="1"/>
  <c r="P305" i="1"/>
  <c r="L306" i="1"/>
  <c r="M306" i="1"/>
  <c r="N306" i="1"/>
  <c r="O306" i="1"/>
  <c r="P306" i="1"/>
  <c r="L307" i="1"/>
  <c r="M307" i="1"/>
  <c r="N307" i="1"/>
  <c r="O307" i="1"/>
  <c r="P307" i="1"/>
  <c r="L308" i="1"/>
  <c r="M308" i="1"/>
  <c r="N308" i="1"/>
  <c r="O308" i="1"/>
  <c r="P308" i="1"/>
  <c r="M349" i="1"/>
  <c r="N349" i="1"/>
  <c r="O349" i="1"/>
  <c r="P349" i="1"/>
  <c r="L350" i="1"/>
  <c r="M350" i="1"/>
  <c r="N350" i="1"/>
  <c r="O350" i="1"/>
  <c r="P350" i="1"/>
  <c r="L351" i="1"/>
  <c r="M351" i="1"/>
  <c r="N351" i="1"/>
  <c r="O351" i="1"/>
  <c r="P351" i="1"/>
  <c r="L353" i="1"/>
  <c r="M353" i="1"/>
  <c r="N353" i="1"/>
  <c r="O353" i="1"/>
  <c r="P353" i="1"/>
  <c r="M358" i="1"/>
  <c r="N358" i="1"/>
  <c r="O358" i="1"/>
  <c r="P358" i="1"/>
  <c r="L359" i="1"/>
  <c r="M359" i="1"/>
  <c r="N359" i="1"/>
  <c r="O359" i="1"/>
  <c r="P359" i="1"/>
  <c r="L360" i="1"/>
  <c r="M360" i="1"/>
  <c r="N360" i="1"/>
  <c r="O360" i="1"/>
  <c r="P360" i="1"/>
  <c r="L362" i="1"/>
  <c r="M362" i="1"/>
  <c r="N362" i="1"/>
  <c r="O362" i="1"/>
  <c r="P362" i="1"/>
  <c r="L365" i="1"/>
  <c r="M365" i="1"/>
  <c r="N365" i="1"/>
  <c r="O365" i="1"/>
  <c r="P365" i="1"/>
  <c r="L372" i="1"/>
  <c r="M372" i="1"/>
  <c r="N372" i="1"/>
  <c r="O372" i="1"/>
  <c r="P372" i="1"/>
  <c r="L374" i="1"/>
  <c r="M374" i="1"/>
  <c r="N374" i="1"/>
  <c r="O374" i="1"/>
  <c r="P374" i="1"/>
  <c r="L379" i="1"/>
  <c r="M379" i="1"/>
  <c r="N379" i="1"/>
  <c r="O379" i="1"/>
  <c r="P379" i="1"/>
  <c r="L380" i="1"/>
  <c r="M380" i="1"/>
  <c r="N380" i="1"/>
  <c r="O380" i="1"/>
  <c r="P380" i="1"/>
  <c r="L381" i="1"/>
  <c r="M381" i="1"/>
  <c r="N381" i="1"/>
  <c r="O381" i="1"/>
  <c r="P381" i="1"/>
  <c r="L99" i="6"/>
  <c r="M99" i="6"/>
  <c r="N99" i="6"/>
  <c r="O99" i="6"/>
  <c r="P99" i="6"/>
  <c r="L100" i="6"/>
  <c r="M100" i="6"/>
  <c r="N100" i="6"/>
  <c r="O100" i="6"/>
  <c r="P100" i="6"/>
  <c r="L101" i="6"/>
  <c r="M101" i="6"/>
  <c r="N101" i="6"/>
  <c r="O101" i="6"/>
  <c r="P101" i="6"/>
  <c r="L104" i="6"/>
  <c r="M104" i="6"/>
  <c r="N104" i="6"/>
  <c r="O104" i="6"/>
  <c r="P104" i="6"/>
  <c r="L105" i="6"/>
  <c r="M105" i="6"/>
  <c r="N105" i="6"/>
  <c r="O105" i="6"/>
  <c r="P105" i="6"/>
  <c r="L106" i="6"/>
  <c r="M106" i="6"/>
  <c r="N106" i="6"/>
  <c r="O106" i="6"/>
  <c r="P106" i="6"/>
  <c r="L107" i="6"/>
  <c r="M107" i="6"/>
  <c r="N107" i="6"/>
  <c r="O107" i="6"/>
  <c r="P107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<sst xmlns="http://schemas.openxmlformats.org/spreadsheetml/2006/main" count="426" uniqueCount="217">
  <si>
    <t>Income Statement</t>
  </si>
  <si>
    <t>Revenue Growth</t>
  </si>
  <si>
    <t>COGS (% of revenue)</t>
  </si>
  <si>
    <t>SG&amp;A (% of revenue)</t>
  </si>
  <si>
    <t>SG&amp;A</t>
  </si>
  <si>
    <t>Total Costs</t>
  </si>
  <si>
    <t>Cost Adjustments - Gain / (Loss)</t>
  </si>
  <si>
    <t>EBITDA</t>
  </si>
  <si>
    <t>Depreciation</t>
  </si>
  <si>
    <t>EBIT</t>
  </si>
  <si>
    <t>EBT</t>
  </si>
  <si>
    <t>Current Taxes</t>
  </si>
  <si>
    <t>Deferred Income Taxes</t>
  </si>
  <si>
    <t>Total Income Taxes</t>
  </si>
  <si>
    <t>Net Income</t>
  </si>
  <si>
    <t>Cash Flow Statement</t>
  </si>
  <si>
    <t>Operating Activities</t>
  </si>
  <si>
    <t>Changes in Working Capital</t>
  </si>
  <si>
    <t>Operating Cash Flow</t>
  </si>
  <si>
    <t>Investing Activities</t>
  </si>
  <si>
    <t>CAPEX</t>
  </si>
  <si>
    <t>Asset Dispositions</t>
  </si>
  <si>
    <t>Investing Cash Flow</t>
  </si>
  <si>
    <t>Financing Activities</t>
  </si>
  <si>
    <t>Financing Cash Flow</t>
  </si>
  <si>
    <t>Balance Sheet</t>
  </si>
  <si>
    <t>ASSETS</t>
  </si>
  <si>
    <t>Accounts Receivable</t>
  </si>
  <si>
    <t>Other</t>
  </si>
  <si>
    <t>Total Current Assets</t>
  </si>
  <si>
    <t>Net PP&amp;E</t>
  </si>
  <si>
    <t>Goodwill</t>
  </si>
  <si>
    <t>Intangibles</t>
  </si>
  <si>
    <t>Total Long Term Assets</t>
  </si>
  <si>
    <t>Total Assets</t>
  </si>
  <si>
    <t>LIABILITIES AND EQUITY</t>
  </si>
  <si>
    <t>Accounts Payable</t>
  </si>
  <si>
    <t>Total Current Liabilities</t>
  </si>
  <si>
    <t>Total Long Term Liabilities</t>
  </si>
  <si>
    <t>Total Liabilities</t>
  </si>
  <si>
    <t>Retained Earnings</t>
  </si>
  <si>
    <t>Shareholder's Equity</t>
  </si>
  <si>
    <t>Total Liabilities and Equity</t>
  </si>
  <si>
    <t>Change in Cash Position</t>
  </si>
  <si>
    <t>Beginning Cash</t>
  </si>
  <si>
    <t>Ending Cash</t>
  </si>
  <si>
    <t>Cash and Equivalents</t>
  </si>
  <si>
    <t>Variable Rate Long Term Debt</t>
  </si>
  <si>
    <t>Fixed Rate Long Term Debt</t>
  </si>
  <si>
    <t>Variable Rate Long Term Debt Issuance / (Repayment)</t>
  </si>
  <si>
    <t>Fixed Rate Long Term Debt Issuance / (Repayment)</t>
  </si>
  <si>
    <t>Preferred Dividend</t>
  </si>
  <si>
    <t>Net Income to Common</t>
  </si>
  <si>
    <t>Common Shares</t>
  </si>
  <si>
    <t>Common Share Dividends</t>
  </si>
  <si>
    <t>Net Interest Expense</t>
  </si>
  <si>
    <t>Financial Modeling Institute – AFM Level 1 Exam</t>
  </si>
  <si>
    <t>Exam Information</t>
  </si>
  <si>
    <t>Candidate Name:</t>
  </si>
  <si>
    <t>Millions for the Year Ended December 31</t>
  </si>
  <si>
    <t>Common Share Issuance / (Buy-Back)</t>
  </si>
  <si>
    <t>Candidate ID:</t>
  </si>
  <si>
    <t>Gross Revenue</t>
  </si>
  <si>
    <t>Freight &amp; Warehousing</t>
  </si>
  <si>
    <t>Net Revenue</t>
  </si>
  <si>
    <t>Cost of Sales</t>
  </si>
  <si>
    <t>Inventory</t>
  </si>
  <si>
    <t>Farley-Jamieson Inc.</t>
  </si>
  <si>
    <t>FMI0178605</t>
  </si>
  <si>
    <t>Ovoke Ohwoganohwo</t>
  </si>
  <si>
    <t>Model</t>
  </si>
  <si>
    <t>Unit</t>
  </si>
  <si>
    <t>Input</t>
  </si>
  <si>
    <t>Actual</t>
  </si>
  <si>
    <t>Forecast</t>
  </si>
  <si>
    <t>Check</t>
  </si>
  <si>
    <t>Modeler</t>
  </si>
  <si>
    <t>Version</t>
  </si>
  <si>
    <t>Ver 1.01</t>
  </si>
  <si>
    <t>Base Year</t>
  </si>
  <si>
    <t>GENERAL ASSUMPTION</t>
  </si>
  <si>
    <t>Assumptions</t>
  </si>
  <si>
    <t>Days in the Year</t>
  </si>
  <si>
    <t>Days</t>
  </si>
  <si>
    <t>Million</t>
  </si>
  <si>
    <t>Constant</t>
  </si>
  <si>
    <t>Style Guide</t>
  </si>
  <si>
    <t>Number</t>
  </si>
  <si>
    <t>Percentage</t>
  </si>
  <si>
    <t>Multiple</t>
  </si>
  <si>
    <t>Linked</t>
  </si>
  <si>
    <t>Currency</t>
  </si>
  <si>
    <t>$'m</t>
  </si>
  <si>
    <t>Units</t>
  </si>
  <si>
    <t>Text</t>
  </si>
  <si>
    <t>Heading 1</t>
  </si>
  <si>
    <t>Scenarios</t>
  </si>
  <si>
    <t>Base Case</t>
  </si>
  <si>
    <t>Best Case</t>
  </si>
  <si>
    <t>Worst Case</t>
  </si>
  <si>
    <t>Sales Volume Scenarios</t>
  </si>
  <si>
    <t>Used in the Model</t>
  </si>
  <si>
    <t>Cost Inflation Scenarios</t>
  </si>
  <si>
    <t>Sales Prices Scenarios</t>
  </si>
  <si>
    <t>Revenue Assumption</t>
  </si>
  <si>
    <t>$/unit</t>
  </si>
  <si>
    <t>%</t>
  </si>
  <si>
    <t>Freight &amp; Warehousing costs</t>
  </si>
  <si>
    <t>Manufacturing Capacity</t>
  </si>
  <si>
    <t>units</t>
  </si>
  <si>
    <t>Operating Cost Assumption</t>
  </si>
  <si>
    <t>Variable Cost</t>
  </si>
  <si>
    <t>Fixed Cost</t>
  </si>
  <si>
    <t>Total Cost</t>
  </si>
  <si>
    <t>Selling General &amp; Administration (“SG&amp;A”) expense</t>
  </si>
  <si>
    <t>Capex and Depreciation Assumption</t>
  </si>
  <si>
    <t>Capex Additions</t>
  </si>
  <si>
    <t>Depreciation Method</t>
  </si>
  <si>
    <t>Straight-Line method</t>
  </si>
  <si>
    <t>Useful Life</t>
  </si>
  <si>
    <t>Existing assets</t>
  </si>
  <si>
    <t>New Assets</t>
  </si>
  <si>
    <t>Years</t>
  </si>
  <si>
    <t>Income Tax Assumptions</t>
  </si>
  <si>
    <t>Company’s tax rate</t>
  </si>
  <si>
    <t>Reduction due to Timing Differences</t>
  </si>
  <si>
    <t>Working Capital Assumption</t>
  </si>
  <si>
    <t>Extract</t>
  </si>
  <si>
    <t>Balances</t>
  </si>
  <si>
    <t>Current Assets</t>
  </si>
  <si>
    <t>Current Liabilities</t>
  </si>
  <si>
    <t>Equity Assumption</t>
  </si>
  <si>
    <t>Preferred Shares</t>
  </si>
  <si>
    <t>Issuance of Preferred Shares</t>
  </si>
  <si>
    <t>Dividend Payout</t>
  </si>
  <si>
    <t>Common Share</t>
  </si>
  <si>
    <t>Common Share repurchases</t>
  </si>
  <si>
    <t>Debt Assumption</t>
  </si>
  <si>
    <t>Fixed Rate Term Debt</t>
  </si>
  <si>
    <t>Fixed Rate Debt</t>
  </si>
  <si>
    <t>Revolver</t>
  </si>
  <si>
    <t>Variable Rate Term Debt</t>
  </si>
  <si>
    <t>Variable Rate Debt</t>
  </si>
  <si>
    <t>SOFR</t>
  </si>
  <si>
    <t>Total Debt/EBITDA</t>
  </si>
  <si>
    <t>Spread to SOFR</t>
  </si>
  <si>
    <t>Excess cash</t>
  </si>
  <si>
    <t>Amortization on the fixed rate term debt</t>
  </si>
  <si>
    <t>Amortization on the variable rate term debt</t>
  </si>
  <si>
    <t>Other Assumptions</t>
  </si>
  <si>
    <t>Cost Adjustments - Gain / (Loss) - Operation</t>
  </si>
  <si>
    <t>Cost Adjustments - Gain / (Loss) - Financing</t>
  </si>
  <si>
    <t>Other - Operating Activities</t>
  </si>
  <si>
    <t>Other - Investing Activities</t>
  </si>
  <si>
    <t>Other - Financing Activities</t>
  </si>
  <si>
    <t>Other Long-Term Assets</t>
  </si>
  <si>
    <t>Other Long-Term Liabilities</t>
  </si>
  <si>
    <t>Other Shareholders’ Equity</t>
  </si>
  <si>
    <t>Revenue Schedule</t>
  </si>
  <si>
    <t>SCHEDULES &amp; CALCULATIONS</t>
  </si>
  <si>
    <t>Freight &amp; Warehouse costs</t>
  </si>
  <si>
    <t>Motorcycles to be produced</t>
  </si>
  <si>
    <t>Motorcycles produced</t>
  </si>
  <si>
    <t>Operating Cost Schedule</t>
  </si>
  <si>
    <t>Cost of Sales ($/unit)</t>
  </si>
  <si>
    <t>Cost of Sales ($'m)</t>
  </si>
  <si>
    <t>Cost of Sales (%)</t>
  </si>
  <si>
    <t>Capex and Depreciation Schedule</t>
  </si>
  <si>
    <t>Extracts</t>
  </si>
  <si>
    <t>Depreciation for Existing Assets</t>
  </si>
  <si>
    <t>Year</t>
  </si>
  <si>
    <t>Additions</t>
  </si>
  <si>
    <t>Depreciation for Existing Assets Schedule</t>
  </si>
  <si>
    <t>Total Depreciation</t>
  </si>
  <si>
    <t>PPE Schedule</t>
  </si>
  <si>
    <t>Opening Balance</t>
  </si>
  <si>
    <t>Closing Balance</t>
  </si>
  <si>
    <t>Income Tax Schedule</t>
  </si>
  <si>
    <t>Accounting EBT</t>
  </si>
  <si>
    <t>Government EBT</t>
  </si>
  <si>
    <t>Accounting Tax</t>
  </si>
  <si>
    <t>Working Capital Schedule</t>
  </si>
  <si>
    <t>OWC</t>
  </si>
  <si>
    <t>Changes In OWC</t>
  </si>
  <si>
    <t>Equity Schedule</t>
  </si>
  <si>
    <t>Debt Schedule</t>
  </si>
  <si>
    <t>Interest Expense on Fixed Rate Term debt</t>
  </si>
  <si>
    <t>times</t>
  </si>
  <si>
    <t>Total</t>
  </si>
  <si>
    <t>Interest Expense on Variable Rate Term debt</t>
  </si>
  <si>
    <t>Interest Rate On Excess Cash</t>
  </si>
  <si>
    <t>Interest Income on Excess Cash</t>
  </si>
  <si>
    <t>Issue of Revolver / (Repayment)</t>
  </si>
  <si>
    <t>Cash Sweep</t>
  </si>
  <si>
    <t>FCF after all Debt &amp; Dividend</t>
  </si>
  <si>
    <t>Net Interest</t>
  </si>
  <si>
    <t>Interest Expense on Revolver</t>
  </si>
  <si>
    <t>Preferred Shares Dividend</t>
  </si>
  <si>
    <t>Common Share Dividend</t>
  </si>
  <si>
    <t>EBITDA Margin</t>
  </si>
  <si>
    <t>Dupont Analysis</t>
  </si>
  <si>
    <t>ROE</t>
  </si>
  <si>
    <t>Net Profit Margin</t>
  </si>
  <si>
    <t>Assets Turnover</t>
  </si>
  <si>
    <t>Financial Leverage</t>
  </si>
  <si>
    <t>Summary</t>
  </si>
  <si>
    <t>Net Revenue Growth Rate</t>
  </si>
  <si>
    <t>EBITDA Growth Rate</t>
  </si>
  <si>
    <t>Net Income Growth Rate</t>
  </si>
  <si>
    <t>Trend</t>
  </si>
  <si>
    <t>Analysis Based On: Base Case</t>
  </si>
  <si>
    <t>Analysis Based On: Best Case</t>
  </si>
  <si>
    <t>Analysis Based On: Worst Case</t>
  </si>
  <si>
    <t>SUMMARY GENERATOR</t>
  </si>
  <si>
    <t xml:space="preserve">  </t>
  </si>
  <si>
    <t>Net Interest Expense in Income Statement</t>
  </si>
  <si>
    <t>Circularity in Model (OFF)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</si>
</sst>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\A"/>
    <numFmt numFmtId="166" formatCode="0.0%;\(0.0%\)"/>
    <numFmt numFmtId="167" formatCode="#,##0.0_);\(#,##0.0\)"/>
    <numFmt numFmtId="168" formatCode="0%;\(0%\)"/>
    <numFmt numFmtId="169" formatCode="#,##0.000_);\(#,##0.000\)"/>
    <numFmt numFmtId="170" formatCode="_(* #,##0.0_);_(* \(#,##0.0\);_(* &quot;-&quot;??_);_(@_)"/>
    <numFmt numFmtId="171" formatCode="_-* #,##0_-;\-* #,##0_-;_-* &quot;-&quot;??_-;_-@_-"/>
    <numFmt numFmtId="172" formatCode="#,##0.00000_);\(#,##0.00000\)"/>
    <numFmt numFmtId="173" formatCode="#,##0.0000_);\(#,##0.0000\)"/>
    <numFmt numFmtId="174" formatCode="0\F"/>
    <numFmt numFmtId="175" formatCode="0.00\x"/>
  </numFmts>
  <fonts count="28"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0"/>
      <name val="Aldine401 BT"/>
    </font>
    <font>
      <sz val="10"/>
      <name val="Book Antiqua"/>
      <family val="1"/>
    </font>
    <font>
      <sz val="11"/>
      <color indexed="12"/>
      <name val="Book Antiqua"/>
      <family val="1"/>
    </font>
    <font>
      <sz val="8"/>
      <name val="Arial"/>
      <family val="2"/>
    </font>
    <font>
      <b/>
      <sz val="18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indexed="12"/>
      <name val="Calibri"/>
      <family val="2"/>
      <scheme val="minor"/>
    </font>
    <font>
      <sz val="10"/>
      <color rgb="FF0000FF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5"/>
      <name val="Calibri"/>
      <family val="2"/>
      <scheme val="minor"/>
    </font>
    <font>
      <sz val="12"/>
      <color rgb="FF0000FF"/>
      <name val="Calibri"/>
      <family val="2"/>
      <scheme val="minor"/>
    </font>
    <font>
      <sz val="9"/>
      <name val="Calibri"/>
      <family val="2"/>
      <scheme val="minor"/>
    </font>
    <font>
      <b/>
      <u/>
      <sz val="9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8"/>
      <color rgb="FF000000"/>
      <name val="Tahoma"/>
      <family val="2"/>
    </font>
    <font>
      <sz val="10"/>
      <color rgb="FFFF0000"/>
      <name val="Calibri"/>
      <family val="2"/>
      <scheme val="minor"/>
    </font>
    <font>
      <b/>
      <sz val="10"/>
      <name val="Arial"/>
      <family val="2"/>
    </font>
    <font>
      <b/>
      <sz val="20"/>
      <name val="Arial"/>
      <family val="2"/>
    </font>
    <font>
      <sz val="11"/>
      <name val="Calibri"/>
      <family val="2"/>
      <scheme val="minor"/>
    </font>
    <font>
      <sz val="10"/>
      <color theme="0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3999450666829432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70C0"/>
      </left>
      <right style="double">
        <color rgb="FF0070C0"/>
      </right>
      <top style="double">
        <color rgb="FF0070C0"/>
      </top>
      <bottom style="double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rgb="FF0070C0"/>
      </left>
      <right style="double">
        <color rgb="FF0070C0"/>
      </right>
      <top style="double">
        <color rgb="FF0070C0"/>
      </top>
      <bottom style="thin">
        <color indexed="64"/>
      </bottom>
      <diagonal/>
    </border>
    <border>
      <left style="double">
        <color rgb="FF0070C0"/>
      </left>
      <right style="double">
        <color rgb="FF0070C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40" fontId="0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4" fillId="0" borderId="0" applyNumberFormat="0" applyFont="0" applyFill="0" applyBorder="0" applyProtection="0">
      <alignment horizontal="centerContinuous"/>
    </xf>
    <xf numFmtId="0" fontId="4" fillId="0" borderId="2" applyNumberFormat="0" applyFont="0" applyFill="0" applyAlignment="0" applyProtection="0"/>
    <xf numFmtId="0" fontId="4" fillId="0" borderId="0" applyNumberFormat="0" applyFont="0" applyFill="0" applyBorder="0" applyProtection="0">
      <alignment horizontal="center"/>
    </xf>
    <xf numFmtId="8" fontId="5" fillId="0" borderId="6">
      <protection locked="0"/>
    </xf>
    <xf numFmtId="0" fontId="4" fillId="0" borderId="7" applyNumberFormat="0" applyFont="0" applyFill="0" applyAlignment="0" applyProtection="0"/>
    <xf numFmtId="0" fontId="6" fillId="0" borderId="0" applyNumberFormat="0" applyFill="0" applyBorder="0" applyAlignment="0" applyProtection="0"/>
    <xf numFmtId="171" fontId="3" fillId="0" borderId="0" applyNumberFormat="0" applyFill="0" applyBorder="0" applyAlignment="0" applyProtection="0"/>
    <xf numFmtId="0" fontId="4" fillId="0" borderId="5" applyNumberFormat="0" applyFont="0" applyFill="0" applyAlignment="0" applyProtection="0"/>
    <xf numFmtId="9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20" fillId="0" borderId="17" applyNumberFormat="0" applyFill="0" applyAlignment="0" applyProtection="0"/>
    <xf numFmtId="0" fontId="21" fillId="3" borderId="5" applyNumberFormat="0" applyFont="0" applyAlignment="0" applyProtection="0"/>
    <xf numFmtId="0" fontId="26" fillId="0" borderId="20" applyNumberFormat="0" applyFont="0" applyFill="0" applyAlignment="0" applyProtection="0"/>
    <xf numFmtId="175" fontId="8" fillId="0" borderId="0" applyFont="0" applyFill="0" applyBorder="0" applyAlignment="0" applyProtection="0"/>
    <xf numFmtId="40" fontId="27" fillId="0" borderId="0" applyNumberFormat="0" applyFill="0" applyBorder="0" applyAlignment="0" applyProtection="0"/>
  </cellStyleXfs>
  <cellXfs count="170">
    <xf numFmtId="40" fontId="0" fillId="0" borderId="0" xfId="0"/>
    <xf numFmtId="40" fontId="7" fillId="0" borderId="0" xfId="0" applyFont="1" applyAlignment="1">
      <alignment horizontal="centerContinuous"/>
    </xf>
    <xf numFmtId="40" fontId="8" fillId="0" borderId="0" xfId="0" applyFont="1"/>
    <xf numFmtId="40" fontId="9" fillId="0" borderId="0" xfId="0" applyFont="1" applyAlignment="1">
      <alignment horizontal="centerContinuous"/>
    </xf>
    <xf numFmtId="40" fontId="9" fillId="0" borderId="1" xfId="0" applyFont="1" applyBorder="1" applyAlignment="1">
      <alignment horizontal="centerContinuous"/>
    </xf>
    <xf numFmtId="40" fontId="10" fillId="0" borderId="0" xfId="0" quotePrefix="1" applyFont="1"/>
    <xf numFmtId="40" fontId="11" fillId="0" borderId="0" xfId="0" applyFont="1" applyAlignment="1">
      <alignment horizontal="centerContinuous"/>
    </xf>
    <xf numFmtId="40" fontId="12" fillId="0" borderId="0" xfId="0" applyFont="1"/>
    <xf numFmtId="1" fontId="12" fillId="0" borderId="0" xfId="0" quotePrefix="1" applyNumberFormat="1" applyFont="1" applyAlignment="1">
      <alignment horizontal="right"/>
    </xf>
    <xf numFmtId="40" fontId="11" fillId="0" borderId="0" xfId="0" applyFont="1"/>
    <xf numFmtId="167" fontId="13" fillId="0" borderId="0" xfId="1" applyNumberFormat="1" applyFont="1" applyAlignment="1" applyProtection="1">
      <alignment horizontal="right"/>
      <protection locked="0"/>
    </xf>
    <xf numFmtId="40" fontId="8" fillId="0" borderId="0" xfId="0" quotePrefix="1" applyFont="1" applyAlignment="1">
      <alignment horizontal="left"/>
    </xf>
    <xf numFmtId="167" fontId="13" fillId="0" borderId="2" xfId="1" applyNumberFormat="1" applyFont="1" applyBorder="1" applyAlignment="1" applyProtection="1">
      <alignment horizontal="right"/>
      <protection locked="0"/>
    </xf>
    <xf numFmtId="40" fontId="11" fillId="0" borderId="0" xfId="0" quotePrefix="1" applyFont="1" applyAlignment="1">
      <alignment horizontal="left"/>
    </xf>
    <xf numFmtId="167" fontId="11" fillId="0" borderId="0" xfId="1" applyNumberFormat="1" applyFont="1" applyAlignment="1">
      <alignment horizontal="right"/>
    </xf>
    <xf numFmtId="167" fontId="11" fillId="0" borderId="0" xfId="1" applyNumberFormat="1" applyFont="1"/>
    <xf numFmtId="167" fontId="13" fillId="0" borderId="2" xfId="1" applyNumberFormat="1" applyFont="1" applyBorder="1" applyProtection="1">
      <protection locked="0"/>
    </xf>
    <xf numFmtId="167" fontId="13" fillId="0" borderId="0" xfId="1" applyNumberFormat="1" applyFont="1" applyProtection="1">
      <protection locked="0"/>
    </xf>
    <xf numFmtId="40" fontId="8" fillId="0" borderId="0" xfId="0" applyFont="1" applyAlignment="1">
      <alignment horizontal="left"/>
    </xf>
    <xf numFmtId="40" fontId="11" fillId="0" borderId="0" xfId="0" applyFont="1" applyAlignment="1">
      <alignment horizontal="left"/>
    </xf>
    <xf numFmtId="167" fontId="8" fillId="0" borderId="0" xfId="0" applyNumberFormat="1" applyFont="1"/>
    <xf numFmtId="6" fontId="11" fillId="0" borderId="0" xfId="0" quotePrefix="1" applyNumberFormat="1" applyFont="1" applyAlignment="1">
      <alignment horizontal="left"/>
    </xf>
    <xf numFmtId="167" fontId="11" fillId="0" borderId="16" xfId="1" applyNumberFormat="1" applyFont="1" applyBorder="1" applyAlignment="1">
      <alignment horizontal="right"/>
    </xf>
    <xf numFmtId="6" fontId="8" fillId="0" borderId="0" xfId="0" quotePrefix="1" applyNumberFormat="1" applyFont="1" applyAlignment="1">
      <alignment horizontal="left"/>
    </xf>
    <xf numFmtId="167" fontId="11" fillId="0" borderId="7" xfId="1" applyNumberFormat="1" applyFont="1" applyBorder="1" applyAlignment="1">
      <alignment horizontal="right"/>
    </xf>
    <xf numFmtId="40" fontId="8" fillId="0" borderId="2" xfId="0" applyFont="1" applyBorder="1"/>
    <xf numFmtId="164" fontId="8" fillId="0" borderId="2" xfId="1" applyNumberFormat="1" applyFont="1" applyBorder="1"/>
    <xf numFmtId="168" fontId="10" fillId="0" borderId="0" xfId="0" applyNumberFormat="1" applyFont="1"/>
    <xf numFmtId="164" fontId="8" fillId="0" borderId="0" xfId="1" applyNumberFormat="1" applyFont="1"/>
    <xf numFmtId="40" fontId="8" fillId="0" borderId="0" xfId="0" applyFont="1" applyAlignment="1">
      <alignment horizontal="centerContinuous"/>
    </xf>
    <xf numFmtId="40" fontId="8" fillId="0" borderId="1" xfId="0" applyFont="1" applyBorder="1" applyAlignment="1">
      <alignment horizontal="centerContinuous"/>
    </xf>
    <xf numFmtId="40" fontId="10" fillId="0" borderId="0" xfId="0" quotePrefix="1" applyFont="1" applyAlignment="1">
      <alignment horizontal="left"/>
    </xf>
    <xf numFmtId="165" fontId="12" fillId="0" borderId="0" xfId="0" applyNumberFormat="1" applyFont="1" applyAlignment="1">
      <alignment horizontal="right"/>
    </xf>
    <xf numFmtId="37" fontId="8" fillId="0" borderId="0" xfId="1" applyNumberFormat="1" applyFont="1"/>
    <xf numFmtId="167" fontId="14" fillId="0" borderId="0" xfId="1" applyNumberFormat="1" applyFont="1" applyProtection="1">
      <protection locked="0"/>
    </xf>
    <xf numFmtId="37" fontId="13" fillId="0" borderId="0" xfId="1" applyNumberFormat="1" applyFont="1"/>
    <xf numFmtId="167" fontId="14" fillId="0" borderId="2" xfId="1" applyNumberFormat="1" applyFont="1" applyBorder="1" applyAlignment="1" applyProtection="1">
      <alignment horizontal="right"/>
      <protection locked="0"/>
    </xf>
    <xf numFmtId="37" fontId="11" fillId="0" borderId="0" xfId="1" applyNumberFormat="1" applyFont="1"/>
    <xf numFmtId="167" fontId="11" fillId="0" borderId="0" xfId="1" applyNumberFormat="1" applyFont="1" applyProtection="1">
      <protection locked="0"/>
    </xf>
    <xf numFmtId="10" fontId="8" fillId="0" borderId="0" xfId="12" applyFont="1"/>
    <xf numFmtId="167" fontId="8" fillId="0" borderId="0" xfId="1" applyNumberFormat="1" applyFont="1"/>
    <xf numFmtId="40" fontId="15" fillId="0" borderId="0" xfId="0" applyFont="1" applyAlignment="1">
      <alignment horizontal="centerContinuous"/>
    </xf>
    <xf numFmtId="40" fontId="10" fillId="0" borderId="0" xfId="0" applyFont="1" applyAlignment="1">
      <alignment horizontal="left"/>
    </xf>
    <xf numFmtId="167" fontId="14" fillId="0" borderId="0" xfId="0" applyNumberFormat="1" applyFont="1"/>
    <xf numFmtId="167" fontId="8" fillId="0" borderId="4" xfId="1" applyNumberFormat="1" applyFont="1" applyBorder="1"/>
    <xf numFmtId="173" fontId="8" fillId="0" borderId="0" xfId="1" applyNumberFormat="1" applyFont="1"/>
    <xf numFmtId="167" fontId="11" fillId="0" borderId="3" xfId="1" applyNumberFormat="1" applyFont="1" applyBorder="1"/>
    <xf numFmtId="169" fontId="13" fillId="0" borderId="0" xfId="1" applyNumberFormat="1" applyFont="1"/>
    <xf numFmtId="170" fontId="8" fillId="0" borderId="0" xfId="1" applyNumberFormat="1" applyFont="1"/>
    <xf numFmtId="40" fontId="10" fillId="0" borderId="2" xfId="0" quotePrefix="1" applyFont="1" applyBorder="1" applyAlignment="1">
      <alignment horizontal="left"/>
    </xf>
    <xf numFmtId="172" fontId="10" fillId="0" borderId="0" xfId="1" applyNumberFormat="1" applyFont="1"/>
    <xf numFmtId="40" fontId="16" fillId="0" borderId="2" xfId="0" applyFont="1" applyBorder="1" applyAlignment="1">
      <alignment horizontal="left" vertical="center"/>
    </xf>
    <xf numFmtId="40" fontId="16" fillId="0" borderId="0" xfId="0" applyFont="1" applyAlignment="1">
      <alignment horizontal="left" vertical="center"/>
    </xf>
    <xf numFmtId="40" fontId="8" fillId="0" borderId="0" xfId="0" applyFont="1" applyAlignment="1">
      <alignment horizontal="left" vertical="center"/>
    </xf>
    <xf numFmtId="40" fontId="17" fillId="0" borderId="2" xfId="0" applyFont="1" applyBorder="1" applyAlignment="1" applyProtection="1">
      <alignment horizontal="center"/>
      <protection locked="0"/>
    </xf>
    <xf numFmtId="167" fontId="11" fillId="0" borderId="0" xfId="1" applyNumberFormat="1" applyFont="1" applyAlignment="1" applyProtection="1">
      <alignment horizontal="right"/>
      <protection locked="0"/>
    </xf>
    <xf numFmtId="0" fontId="18" fillId="0" borderId="8" xfId="2" applyFont="1" applyBorder="1" applyAlignment="1">
      <alignment horizontal="left" vertical="center"/>
    </xf>
    <xf numFmtId="40" fontId="18" fillId="0" borderId="9" xfId="0" applyFont="1" applyBorder="1"/>
    <xf numFmtId="40" fontId="19" fillId="0" borderId="9" xfId="0" applyFont="1" applyBorder="1"/>
    <xf numFmtId="166" fontId="18" fillId="0" borderId="9" xfId="0" applyNumberFormat="1" applyFont="1" applyBorder="1"/>
    <xf numFmtId="166" fontId="18" fillId="0" borderId="10" xfId="0" applyNumberFormat="1" applyFont="1" applyBorder="1"/>
    <xf numFmtId="0" fontId="18" fillId="0" borderId="11" xfId="2" applyFont="1" applyBorder="1" applyAlignment="1">
      <alignment horizontal="left" vertical="center"/>
    </xf>
    <xf numFmtId="40" fontId="18" fillId="0" borderId="0" xfId="0" applyFont="1"/>
    <xf numFmtId="40" fontId="19" fillId="0" borderId="0" xfId="0" applyFont="1"/>
    <xf numFmtId="166" fontId="18" fillId="0" borderId="0" xfId="0" applyNumberFormat="1" applyFont="1"/>
    <xf numFmtId="166" fontId="18" fillId="0" borderId="12" xfId="0" applyNumberFormat="1" applyFont="1" applyBorder="1"/>
    <xf numFmtId="0" fontId="18" fillId="0" borderId="13" xfId="2" applyFont="1" applyBorder="1" applyAlignment="1">
      <alignment horizontal="left" vertical="center"/>
    </xf>
    <xf numFmtId="40" fontId="18" fillId="0" borderId="14" xfId="0" applyFont="1" applyBorder="1"/>
    <xf numFmtId="40" fontId="19" fillId="0" borderId="14" xfId="0" applyFont="1" applyBorder="1"/>
    <xf numFmtId="166" fontId="18" fillId="0" borderId="14" xfId="0" applyNumberFormat="1" applyFont="1" applyBorder="1"/>
    <xf numFmtId="166" fontId="18" fillId="0" borderId="15" xfId="0" applyNumberFormat="1" applyFont="1" applyBorder="1"/>
    <xf numFmtId="40" fontId="22" fillId="0" borderId="2" xfId="0" applyFont="1" applyBorder="1" applyAlignment="1" applyProtection="1">
      <alignment horizontal="center"/>
      <protection locked="0"/>
    </xf>
    <xf numFmtId="0" fontId="18" fillId="0" borderId="9" xfId="2" applyFont="1" applyBorder="1" applyAlignment="1">
      <alignment horizontal="left" vertical="center"/>
    </xf>
    <xf numFmtId="0" fontId="18" fillId="0" borderId="0" xfId="2" applyFont="1" applyAlignment="1">
      <alignment horizontal="left" vertical="center"/>
    </xf>
    <xf numFmtId="0" fontId="18" fillId="0" borderId="14" xfId="2" applyFont="1" applyBorder="1" applyAlignment="1">
      <alignment horizontal="left" vertical="center"/>
    </xf>
    <xf numFmtId="40" fontId="8" fillId="2" borderId="0" xfId="0" applyFont="1" applyFill="1"/>
    <xf numFmtId="40" fontId="9" fillId="2" borderId="0" xfId="0" applyFont="1" applyFill="1"/>
    <xf numFmtId="40" fontId="11" fillId="2" borderId="0" xfId="0" applyFont="1" applyFill="1"/>
    <xf numFmtId="40" fontId="11" fillId="0" borderId="0" xfId="0" applyFont="1" applyAlignment="1">
      <alignment horizontal="center"/>
    </xf>
    <xf numFmtId="165" fontId="11" fillId="0" borderId="0" xfId="0" applyNumberFormat="1" applyFont="1" applyAlignment="1">
      <alignment horizontal="center"/>
    </xf>
    <xf numFmtId="174" fontId="11" fillId="0" borderId="0" xfId="0" applyNumberFormat="1" applyFont="1" applyAlignment="1">
      <alignment horizontal="center"/>
    </xf>
    <xf numFmtId="167" fontId="13" fillId="0" borderId="0" xfId="1" applyNumberFormat="1" applyFont="1" applyBorder="1" applyAlignment="1" applyProtection="1">
      <alignment horizontal="right"/>
      <protection locked="0"/>
    </xf>
    <xf numFmtId="167" fontId="11" fillId="0" borderId="4" xfId="1" applyNumberFormat="1" applyFont="1" applyBorder="1" applyAlignment="1" applyProtection="1">
      <alignment horizontal="right"/>
      <protection locked="0"/>
    </xf>
    <xf numFmtId="167" fontId="11" fillId="0" borderId="4" xfId="1" applyNumberFormat="1" applyFont="1" applyBorder="1" applyAlignment="1">
      <alignment horizontal="right"/>
    </xf>
    <xf numFmtId="167" fontId="11" fillId="0" borderId="4" xfId="1" applyNumberFormat="1" applyFont="1" applyBorder="1"/>
    <xf numFmtId="167" fontId="13" fillId="0" borderId="0" xfId="1" applyNumberFormat="1" applyFont="1" applyBorder="1" applyProtection="1">
      <protection locked="0"/>
    </xf>
    <xf numFmtId="167" fontId="11" fillId="0" borderId="3" xfId="1" applyNumberFormat="1" applyFont="1" applyBorder="1" applyAlignment="1">
      <alignment horizontal="right"/>
    </xf>
    <xf numFmtId="164" fontId="8" fillId="0" borderId="0" xfId="1" applyNumberFormat="1" applyFont="1" applyBorder="1"/>
    <xf numFmtId="168" fontId="10" fillId="0" borderId="4" xfId="0" applyNumberFormat="1" applyFont="1" applyBorder="1"/>
    <xf numFmtId="40" fontId="8" fillId="0" borderId="4" xfId="0" applyFont="1" applyBorder="1"/>
    <xf numFmtId="167" fontId="11" fillId="0" borderId="4" xfId="1" applyNumberFormat="1" applyFont="1" applyBorder="1" applyProtection="1">
      <protection locked="0"/>
    </xf>
    <xf numFmtId="167" fontId="8" fillId="0" borderId="0" xfId="1" applyNumberFormat="1" applyFont="1" applyBorder="1"/>
    <xf numFmtId="40" fontId="8" fillId="0" borderId="0" xfId="0" applyFont="1" applyBorder="1"/>
    <xf numFmtId="40" fontId="24" fillId="0" borderId="0" xfId="0" applyFont="1"/>
    <xf numFmtId="40" fontId="25" fillId="0" borderId="0" xfId="0" applyFont="1"/>
    <xf numFmtId="40" fontId="11" fillId="0" borderId="7" xfId="0" applyFont="1" applyBorder="1"/>
    <xf numFmtId="1" fontId="8" fillId="0" borderId="0" xfId="0" applyNumberFormat="1" applyFont="1"/>
    <xf numFmtId="40" fontId="20" fillId="0" borderId="17" xfId="13" applyNumberFormat="1"/>
    <xf numFmtId="40" fontId="8" fillId="3" borderId="5" xfId="14" applyNumberFormat="1" applyFont="1"/>
    <xf numFmtId="175" fontId="8" fillId="0" borderId="0" xfId="16" applyFont="1"/>
    <xf numFmtId="40" fontId="8" fillId="0" borderId="20" xfId="15" applyNumberFormat="1" applyFont="1"/>
    <xf numFmtId="40" fontId="27" fillId="0" borderId="0" xfId="17"/>
    <xf numFmtId="40" fontId="11" fillId="0" borderId="21" xfId="0" applyFont="1" applyBorder="1"/>
    <xf numFmtId="40" fontId="8" fillId="0" borderId="22" xfId="0" applyFont="1" applyBorder="1"/>
    <xf numFmtId="40" fontId="8" fillId="0" borderId="23" xfId="0" applyFont="1" applyBorder="1"/>
    <xf numFmtId="10" fontId="8" fillId="3" borderId="5" xfId="12" applyFont="1" applyFill="1" applyBorder="1"/>
    <xf numFmtId="40" fontId="8" fillId="3" borderId="5" xfId="0" applyFont="1" applyFill="1" applyBorder="1"/>
    <xf numFmtId="10" fontId="8" fillId="0" borderId="20" xfId="12" applyFont="1" applyBorder="1"/>
    <xf numFmtId="10" fontId="11" fillId="0" borderId="0" xfId="12" applyFont="1"/>
    <xf numFmtId="10" fontId="8" fillId="3" borderId="5" xfId="14" applyNumberFormat="1" applyFont="1"/>
    <xf numFmtId="40" fontId="8" fillId="0" borderId="18" xfId="0" applyFont="1" applyBorder="1"/>
    <xf numFmtId="40" fontId="8" fillId="0" borderId="16" xfId="0" applyFont="1" applyBorder="1"/>
    <xf numFmtId="40" fontId="8" fillId="0" borderId="19" xfId="0" applyFont="1" applyBorder="1"/>
    <xf numFmtId="0" fontId="8" fillId="0" borderId="0" xfId="0" applyNumberFormat="1" applyFont="1"/>
    <xf numFmtId="0" fontId="8" fillId="0" borderId="20" xfId="15" applyNumberFormat="1" applyFont="1"/>
    <xf numFmtId="175" fontId="8" fillId="0" borderId="0" xfId="16" applyFont="1" applyAlignment="1">
      <alignment horizontal="left"/>
    </xf>
    <xf numFmtId="10" fontId="8" fillId="0" borderId="20" xfId="15" applyNumberFormat="1" applyFont="1"/>
    <xf numFmtId="10" fontId="0" fillId="0" borderId="20" xfId="12" applyFont="1" applyBorder="1"/>
    <xf numFmtId="40" fontId="11" fillId="0" borderId="24" xfId="0" applyFont="1" applyBorder="1"/>
    <xf numFmtId="40" fontId="8" fillId="0" borderId="25" xfId="0" applyFont="1" applyBorder="1"/>
    <xf numFmtId="40" fontId="8" fillId="0" borderId="26" xfId="0" applyFont="1" applyBorder="1"/>
    <xf numFmtId="40" fontId="8" fillId="0" borderId="27" xfId="15" applyNumberFormat="1" applyFont="1" applyBorder="1"/>
    <xf numFmtId="40" fontId="8" fillId="0" borderId="28" xfId="15" applyNumberFormat="1" applyFont="1" applyBorder="1"/>
    <xf numFmtId="40" fontId="8" fillId="0" borderId="0" xfId="0" applyFont="1" applyAlignment="1">
      <alignment horizontal="right"/>
    </xf>
    <xf numFmtId="40" fontId="12" fillId="0" borderId="0" xfId="0" applyFont="1" applyAlignment="1">
      <alignment horizontal="right"/>
    </xf>
    <xf numFmtId="40" fontId="8" fillId="0" borderId="21" xfId="0" applyFont="1" applyBorder="1"/>
    <xf numFmtId="40" fontId="11" fillId="0" borderId="20" xfId="15" applyNumberFormat="1" applyFont="1"/>
    <xf numFmtId="40" fontId="10" fillId="0" borderId="0" xfId="0" applyFont="1"/>
    <xf numFmtId="40" fontId="8" fillId="0" borderId="24" xfId="0" applyFont="1" applyBorder="1"/>
    <xf numFmtId="40" fontId="8" fillId="0" borderId="20" xfId="15" applyNumberFormat="1" applyFont="1" applyFill="1"/>
    <xf numFmtId="168" fontId="10" fillId="0" borderId="0" xfId="0" applyNumberFormat="1" applyFont="1" applyBorder="1"/>
    <xf numFmtId="2" fontId="14" fillId="0" borderId="0" xfId="1" applyNumberFormat="1" applyFont="1"/>
    <xf numFmtId="0" fontId="11" fillId="0" borderId="0" xfId="0" applyNumberFormat="1" applyFont="1"/>
    <xf numFmtId="168" fontId="10" fillId="0" borderId="24" xfId="0" applyNumberFormat="1" applyFont="1" applyBorder="1"/>
    <xf numFmtId="10" fontId="10" fillId="0" borderId="4" xfId="12" applyFont="1" applyBorder="1"/>
    <xf numFmtId="10" fontId="10" fillId="0" borderId="29" xfId="12" applyFont="1" applyBorder="1"/>
    <xf numFmtId="168" fontId="15" fillId="0" borderId="25" xfId="0" applyNumberFormat="1" applyFont="1" applyBorder="1"/>
    <xf numFmtId="10" fontId="10" fillId="0" borderId="0" xfId="12" applyFont="1" applyBorder="1"/>
    <xf numFmtId="10" fontId="10" fillId="0" borderId="30" xfId="12" applyFont="1" applyBorder="1"/>
    <xf numFmtId="168" fontId="10" fillId="0" borderId="25" xfId="0" applyNumberFormat="1" applyFont="1" applyBorder="1"/>
    <xf numFmtId="40" fontId="11" fillId="0" borderId="0" xfId="0" applyFont="1" applyBorder="1"/>
    <xf numFmtId="175" fontId="11" fillId="0" borderId="0" xfId="16" applyFont="1" applyBorder="1"/>
    <xf numFmtId="175" fontId="11" fillId="0" borderId="30" xfId="16" applyFont="1" applyBorder="1"/>
    <xf numFmtId="168" fontId="10" fillId="0" borderId="26" xfId="0" applyNumberFormat="1" applyFont="1" applyBorder="1"/>
    <xf numFmtId="168" fontId="10" fillId="0" borderId="2" xfId="0" applyNumberFormat="1" applyFont="1" applyBorder="1"/>
    <xf numFmtId="175" fontId="8" fillId="0" borderId="2" xfId="16" applyFont="1" applyBorder="1"/>
    <xf numFmtId="175" fontId="8" fillId="0" borderId="31" xfId="16" applyFont="1" applyBorder="1"/>
    <xf numFmtId="40" fontId="27" fillId="0" borderId="17" xfId="17" applyNumberFormat="1" applyBorder="1"/>
    <xf numFmtId="40" fontId="27" fillId="0" borderId="7" xfId="17" applyBorder="1"/>
    <xf numFmtId="40" fontId="27" fillId="0" borderId="0" xfId="17" applyAlignment="1">
      <alignment horizontal="centerContinuous"/>
    </xf>
    <xf numFmtId="40" fontId="27" fillId="0" borderId="1" xfId="17" applyBorder="1" applyAlignment="1">
      <alignment horizontal="centerContinuous"/>
    </xf>
    <xf numFmtId="40" fontId="27" fillId="0" borderId="9" xfId="17" applyBorder="1"/>
    <xf numFmtId="40" fontId="27" fillId="0" borderId="14" xfId="17" applyBorder="1"/>
    <xf numFmtId="40" fontId="27" fillId="0" borderId="0" xfId="17" quotePrefix="1" applyAlignment="1">
      <alignment horizontal="left"/>
    </xf>
    <xf numFmtId="40" fontId="27" fillId="0" borderId="0" xfId="17" applyAlignment="1">
      <alignment horizontal="left"/>
    </xf>
    <xf numFmtId="6" fontId="27" fillId="0" borderId="0" xfId="17" quotePrefix="1" applyNumberFormat="1" applyAlignment="1">
      <alignment horizontal="left"/>
    </xf>
    <xf numFmtId="40" fontId="27" fillId="0" borderId="2" xfId="17" applyBorder="1"/>
    <xf numFmtId="40" fontId="27" fillId="0" borderId="0" xfId="17" quotePrefix="1"/>
    <xf numFmtId="168" fontId="27" fillId="0" borderId="4" xfId="17" applyNumberFormat="1" applyBorder="1"/>
    <xf numFmtId="168" fontId="27" fillId="0" borderId="0" xfId="17" applyNumberFormat="1" applyBorder="1"/>
    <xf numFmtId="168" fontId="27" fillId="0" borderId="2" xfId="17" applyNumberFormat="1" applyBorder="1"/>
    <xf numFmtId="172" fontId="27" fillId="0" borderId="0" xfId="17" applyNumberFormat="1"/>
    <xf numFmtId="40" fontId="27" fillId="0" borderId="4" xfId="17" applyBorder="1"/>
    <xf numFmtId="40" fontId="27" fillId="0" borderId="0" xfId="17" applyBorder="1"/>
    <xf numFmtId="40" fontId="27" fillId="0" borderId="16" xfId="17" applyBorder="1"/>
    <xf numFmtId="10" fontId="27" fillId="0" borderId="0" xfId="17" applyNumberFormat="1"/>
    <xf numFmtId="0" fontId="0" fillId="0" borderId="0" xfId="0" applyNumberFormat="1" applyAlignment="1">
      <alignment horizontal="left"/>
    </xf>
    <xf numFmtId="40" fontId="23" fillId="0" borderId="18" xfId="0" applyFont="1" applyFill="1" applyBorder="1" applyAlignment="1">
      <alignment horizontal="center"/>
    </xf>
    <xf numFmtId="40" fontId="23" fillId="0" borderId="19" xfId="0" applyFont="1" applyFill="1" applyBorder="1" applyAlignment="1">
      <alignment horizontal="center"/>
    </xf>
    <xf numFmtId="40" fontId="23" fillId="0" borderId="0" xfId="0" applyFont="1" applyFill="1" applyAlignment="1">
      <alignment horizontal="center"/>
    </xf>
  </cellXfs>
  <cellStyles count="18">
    <cellStyle name="Across" xfId="3" xr:uid="{00000000-0005-0000-0000-000000000000}"/>
    <cellStyle name="Bottom" xfId="4" xr:uid="{00000000-0005-0000-0000-000001000000}"/>
    <cellStyle name="Center" xfId="5" xr:uid="{00000000-0005-0000-0000-000002000000}"/>
    <cellStyle name="Comma" xfId="1" builtinId="3"/>
    <cellStyle name="Currency [2]" xfId="6" xr:uid="{00000000-0005-0000-0000-000004000000}"/>
    <cellStyle name="Double" xfId="7" xr:uid="{00000000-0005-0000-0000-000005000000}"/>
    <cellStyle name="Heading 1" xfId="13" builtinId="16"/>
    <cellStyle name="Input" xfId="14" builtinId="20" customBuiltin="1"/>
    <cellStyle name="Linked Cell" xfId="15" builtinId="24" customBuiltin="1"/>
    <cellStyle name="Multiple" xfId="16" xr:uid="{914E3E4A-C934-43DC-A1DF-708D1F141D21}"/>
    <cellStyle name="Normal" xfId="0" builtinId="0" customBuiltin="1"/>
    <cellStyle name="Normal_TrainingDCF1" xfId="2" xr:uid="{00000000-0005-0000-0000-000007000000}"/>
    <cellStyle name="Numbers" xfId="8" xr:uid="{00000000-0005-0000-0000-000008000000}"/>
    <cellStyle name="Numbers - Bold - Italic" xfId="9" xr:uid="{00000000-0005-0000-0000-000009000000}"/>
    <cellStyle name="Outline" xfId="10" xr:uid="{00000000-0005-0000-0000-00000A000000}"/>
    <cellStyle name="Percent" xfId="12" builtinId="5" customBuiltin="1"/>
    <cellStyle name="Percent 2" xfId="11" xr:uid="{00000000-0005-0000-0000-00000C000000}"/>
    <cellStyle name="Unit" xfId="17" xr:uid="{4267BC8F-DEF4-4686-86AF-AFB53F8A4DCA}"/>
  </cellStyles>
  <dxfs count="0"/>
  <tableStyles count="0" defaultTableStyle="TableStyleMedium2" defaultPivotStyle="PivotStyleLight16"/>
  <colors>
    <mruColors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Style="combo" dx="31" fmlaLink="S_Scenarios" fmlaRange="L_Scenarios" noThreeD="1" sel="1" val="0"/>
</file>

<file path=xl/ctrlProps/ctrlProp2.xml><?xml version="1.0" encoding="utf-8"?>
<formControlPr xmlns="http://schemas.microsoft.com/office/spreadsheetml/2009/9/main" objectType="Drop" dropStyle="combo" dx="31" fmlaLink="S_Scenarios" fmlaRange="L_Scenarios" noThreeD="1" sel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82487</xdr:colOff>
      <xdr:row>0</xdr:row>
      <xdr:rowOff>47621</xdr:rowOff>
    </xdr:from>
    <xdr:to>
      <xdr:col>2</xdr:col>
      <xdr:colOff>84713</xdr:colOff>
      <xdr:row>5</xdr:row>
      <xdr:rowOff>140363</xdr:rowOff>
    </xdr:to>
    <xdr:pic>
      <xdr:nvPicPr>
        <xdr:cNvPr id="2" name="Picture 1" descr="C:\Users\Chantal Giurlanda\AppData\Local\Microsoft\Windows\INetCache\Content.Word\FMI-Logo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2487" y="47621"/>
          <a:ext cx="1279634" cy="88331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25400</xdr:colOff>
          <xdr:row>1</xdr:row>
          <xdr:rowOff>158750</xdr:rowOff>
        </xdr:from>
        <xdr:to>
          <xdr:col>15</xdr:col>
          <xdr:colOff>323850</xdr:colOff>
          <xdr:row>2</xdr:row>
          <xdr:rowOff>133350</xdr:rowOff>
        </xdr:to>
        <xdr:sp macro="" textlink="">
          <xdr:nvSpPr>
            <xdr:cNvPr id="6145" name="Drop Down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2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25400</xdr:colOff>
          <xdr:row>5</xdr:row>
          <xdr:rowOff>158750</xdr:rowOff>
        </xdr:from>
        <xdr:to>
          <xdr:col>5</xdr:col>
          <xdr:colOff>368300</xdr:colOff>
          <xdr:row>7</xdr:row>
          <xdr:rowOff>38100</xdr:rowOff>
        </xdr:to>
        <xdr:sp macro="" textlink="">
          <xdr:nvSpPr>
            <xdr:cNvPr id="4097" name="Drop Dow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4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showGridLines="0" topLeftCell="A6" zoomScale="120" zoomScaleNormal="120" workbookViewId="0">
      <selection activeCell="D17" sqref="D17"/>
    </sheetView>
  </sheetViews>
  <sheetFormatPr defaultColWidth="0" defaultRowHeight="0" customHeight="1" zeroHeight="1"/>
  <cols>
    <col min="1" max="3" width="9.1796875" style="2" customWidth="1"/>
    <col min="4" max="4" width="39.1796875" style="2" customWidth="1"/>
    <col min="5" max="7" width="9.1796875" style="2" customWidth="1"/>
    <col min="8" max="9" width="9.1796875" style="2" hidden="1" customWidth="1"/>
    <col min="10" max="11" width="0" style="2" hidden="1" customWidth="1"/>
    <col min="12" max="16384" width="9.1796875" style="2" hidden="1"/>
  </cols>
  <sheetData>
    <row r="1" spans="1:7" ht="13"/>
    <row r="2" spans="1:7" ht="13"/>
    <row r="3" spans="1:7" ht="13"/>
    <row r="4" spans="1:7" ht="13"/>
    <row r="5" spans="1:7" ht="13"/>
    <row r="6" spans="1:7" ht="13"/>
    <row r="7" spans="1:7" ht="13"/>
    <row r="8" spans="1:7" ht="19.5">
      <c r="A8" s="51" t="s">
        <v>56</v>
      </c>
      <c r="B8" s="25"/>
      <c r="C8" s="25"/>
      <c r="D8" s="25"/>
      <c r="E8" s="25"/>
      <c r="F8" s="25"/>
      <c r="G8" s="25"/>
    </row>
    <row r="9" spans="1:7" ht="19.5">
      <c r="A9" s="52" t="s">
        <v>57</v>
      </c>
    </row>
    <row r="10" spans="1:7" ht="12.75" customHeight="1"/>
    <row r="11" spans="1:7" ht="12.75" customHeight="1"/>
    <row r="12" spans="1:7" ht="18" customHeight="1">
      <c r="A12" s="53" t="s">
        <v>61</v>
      </c>
      <c r="D12" s="71" t="s">
        <v>68</v>
      </c>
    </row>
    <row r="13" spans="1:7" ht="13">
      <c r="A13" s="53"/>
    </row>
    <row r="14" spans="1:7" ht="18" customHeight="1">
      <c r="A14" s="53" t="s">
        <v>58</v>
      </c>
      <c r="D14" s="54" t="s">
        <v>69</v>
      </c>
    </row>
    <row r="15" spans="1:7" ht="13"/>
    <row r="16" spans="1:7" ht="13"/>
    <row r="17" s="2" customFormat="1" ht="13"/>
    <row r="18" s="2" customFormat="1" ht="12.75" customHeight="1"/>
    <row r="19" s="2" customFormat="1" ht="12.75" customHeight="1"/>
  </sheetData>
  <sheetProtection selectLockedCells="1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8C4D1-8CFC-433B-BF2D-F70059AB71F2}">
  <dimension ref="B3:D13"/>
  <sheetViews>
    <sheetView showGridLines="0" workbookViewId="0">
      <selection activeCell="D11" sqref="D11"/>
    </sheetView>
  </sheetViews>
  <sheetFormatPr defaultRowHeight="12.5"/>
  <cols>
    <col min="2" max="2" width="16.7265625" customWidth="1"/>
  </cols>
  <sheetData>
    <row r="3" spans="2:4" ht="25">
      <c r="B3" s="94" t="str">
        <f>Model!B2</f>
        <v>Farley-Jamieson Inc.</v>
      </c>
    </row>
    <row r="5" spans="2:4" ht="13">
      <c r="B5" s="93" t="str">
        <f>"Financial Statement from: "&amp;$D$11+1&amp;" to "&amp;$D$11+5</f>
        <v>Financial Statement from: 2024 to 2028</v>
      </c>
    </row>
    <row r="7" spans="2:4">
      <c r="B7" t="s">
        <v>76</v>
      </c>
      <c r="D7" t="s">
        <v>69</v>
      </c>
    </row>
    <row r="9" spans="2:4">
      <c r="B9" t="s">
        <v>77</v>
      </c>
      <c r="D9" t="s">
        <v>78</v>
      </c>
    </row>
    <row r="11" spans="2:4">
      <c r="B11" t="s">
        <v>79</v>
      </c>
      <c r="D11" s="166">
        <v>2023</v>
      </c>
    </row>
    <row r="13" spans="2:4">
      <c r="B13" t="s">
        <v>216</v>
      </c>
      <c r="D13" t="s">
        <v>215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D802-C10A-4F5C-B68B-93AF2A1B25C5}">
  <dimension ref="A1:P500"/>
  <sheetViews>
    <sheetView showGridLines="0" zoomScale="70" zoomScaleNormal="70" zoomScaleSheetLayoutView="90" workbookViewId="0">
      <pane ySplit="5" topLeftCell="A6" activePane="bottomLeft" state="frozen"/>
      <selection activeCell="K37" sqref="K37"/>
      <selection pane="bottomLeft" activeCell="L7" sqref="L7"/>
    </sheetView>
  </sheetViews>
  <sheetFormatPr defaultColWidth="0" defaultRowHeight="13"/>
  <cols>
    <col min="1" max="1" width="2.54296875" style="2" customWidth="1"/>
    <col min="2" max="3" width="1.81640625" style="2" customWidth="1"/>
    <col min="4" max="4" width="50.08984375" style="2" customWidth="1"/>
    <col min="5" max="5" width="8.6328125" style="2" customWidth="1"/>
    <col min="6" max="6" width="12.7265625" style="2" customWidth="1"/>
    <col min="7" max="8" width="1.81640625" style="2" customWidth="1"/>
    <col min="9" max="11" width="12.7265625" style="2" customWidth="1"/>
    <col min="12" max="16" width="9.26953125" style="2" customWidth="1"/>
    <col min="17" max="16384" width="9.26953125" style="2" hidden="1"/>
  </cols>
  <sheetData>
    <row r="1" spans="2:16" s="75" customFormat="1"/>
    <row r="2" spans="2:16" s="75" customFormat="1" ht="18.5">
      <c r="B2" s="76" t="s">
        <v>67</v>
      </c>
      <c r="I2" s="77" t="str">
        <f>"Financial Model: "&amp;L5&amp;" to "&amp;P5</f>
        <v>Financial Model: 2024 to 2028</v>
      </c>
    </row>
    <row r="3" spans="2:16" s="75" customFormat="1">
      <c r="B3" s="77" t="s">
        <v>205</v>
      </c>
      <c r="I3" s="167" t="str">
        <f>IF(BS_Check=0,"BS Check: OK","BS Check: Error")</f>
        <v>BS Check: OK</v>
      </c>
      <c r="J3" s="168"/>
      <c r="K3" s="169" t="str">
        <f>Scenario_Used</f>
        <v>Scenario: Base Case</v>
      </c>
      <c r="L3" s="169"/>
    </row>
    <row r="4" spans="2:16">
      <c r="I4" s="78" t="s">
        <v>73</v>
      </c>
      <c r="J4" s="78" t="s">
        <v>73</v>
      </c>
      <c r="K4" s="78" t="s">
        <v>73</v>
      </c>
      <c r="L4" s="78" t="s">
        <v>74</v>
      </c>
      <c r="M4" s="78" t="s">
        <v>74</v>
      </c>
      <c r="N4" s="78" t="s">
        <v>74</v>
      </c>
      <c r="O4" s="78" t="s">
        <v>74</v>
      </c>
      <c r="P4" s="78" t="s">
        <v>74</v>
      </c>
    </row>
    <row r="5" spans="2:16">
      <c r="E5" s="2" t="s">
        <v>71</v>
      </c>
      <c r="F5" s="2" t="s">
        <v>209</v>
      </c>
      <c r="I5" s="79">
        <v>2021</v>
      </c>
      <c r="J5" s="79">
        <f>I5+1</f>
        <v>2022</v>
      </c>
      <c r="K5" s="79">
        <f t="shared" ref="K5:P5" si="0">J5+1</f>
        <v>2023</v>
      </c>
      <c r="L5" s="80">
        <f t="shared" si="0"/>
        <v>2024</v>
      </c>
      <c r="M5" s="80">
        <f t="shared" si="0"/>
        <v>2025</v>
      </c>
      <c r="N5" s="80">
        <f t="shared" si="0"/>
        <v>2026</v>
      </c>
      <c r="O5" s="80">
        <f t="shared" si="0"/>
        <v>2027</v>
      </c>
      <c r="P5" s="80">
        <f t="shared" si="0"/>
        <v>2028</v>
      </c>
    </row>
    <row r="6" spans="2:16">
      <c r="E6" s="101"/>
    </row>
    <row r="7" spans="2:16">
      <c r="E7" s="101"/>
    </row>
    <row r="8" spans="2:16">
      <c r="E8" s="101"/>
    </row>
    <row r="9" spans="2:16" ht="20" thickBot="1">
      <c r="B9" s="97" t="s">
        <v>210</v>
      </c>
      <c r="C9" s="97"/>
      <c r="D9" s="97"/>
      <c r="E9" s="14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</row>
    <row r="10" spans="2:16" ht="13.5" thickTop="1">
      <c r="E10" s="101"/>
    </row>
    <row r="11" spans="2:16">
      <c r="C11" s="9" t="s">
        <v>64</v>
      </c>
      <c r="E11" s="101"/>
    </row>
    <row r="12" spans="2:16">
      <c r="D12" s="2" t="s">
        <v>64</v>
      </c>
      <c r="E12" s="101" t="s">
        <v>92</v>
      </c>
      <c r="I12" s="2">
        <v>5118.4000000000005</v>
      </c>
      <c r="J12" s="2">
        <v>5392.4</v>
      </c>
      <c r="K12" s="2">
        <v>5277.2000000000007</v>
      </c>
      <c r="L12" s="2">
        <v>5839.4111841090653</v>
      </c>
      <c r="M12" s="2">
        <v>6070.9021274791021</v>
      </c>
      <c r="N12" s="2">
        <v>6310.3179860275732</v>
      </c>
      <c r="O12" s="2">
        <v>6557.9103236737938</v>
      </c>
      <c r="P12" s="2">
        <v>6734</v>
      </c>
    </row>
    <row r="13" spans="2:16">
      <c r="D13" s="2" t="s">
        <v>206</v>
      </c>
      <c r="E13" s="101" t="s">
        <v>106</v>
      </c>
      <c r="J13" s="39">
        <v>5.3532353860581194E-2</v>
      </c>
      <c r="K13" s="39">
        <v>-2.1363400341220751E-2</v>
      </c>
      <c r="L13" s="39">
        <v>0.10653588723358309</v>
      </c>
      <c r="M13" s="39">
        <v>3.9642857142856869E-2</v>
      </c>
      <c r="N13" s="39">
        <v>3.9436619718309807E-2</v>
      </c>
      <c r="O13" s="39">
        <v>3.9236111111111027E-2</v>
      </c>
      <c r="P13" s="39">
        <v>2.6851491959341001E-2</v>
      </c>
    </row>
    <row r="14" spans="2:16">
      <c r="E14" s="101"/>
    </row>
    <row r="15" spans="2:16">
      <c r="C15" s="9" t="s">
        <v>7</v>
      </c>
      <c r="E15" s="101"/>
    </row>
    <row r="16" spans="2:16">
      <c r="D16" s="2" t="s">
        <v>7</v>
      </c>
      <c r="E16" s="101" t="s">
        <v>92</v>
      </c>
      <c r="I16" s="2">
        <v>817.30000000000086</v>
      </c>
      <c r="J16" s="2">
        <v>909.39999999999964</v>
      </c>
      <c r="K16" s="2">
        <v>779.30000000000109</v>
      </c>
      <c r="L16" s="2">
        <v>1166.1126491090654</v>
      </c>
      <c r="M16" s="2">
        <v>1203.2134798528523</v>
      </c>
      <c r="N16" s="2">
        <v>1239.3863654171601</v>
      </c>
      <c r="O16" s="2">
        <v>1274.44885440898</v>
      </c>
      <c r="P16" s="2">
        <v>1258.938109631119</v>
      </c>
    </row>
    <row r="17" spans="3:16">
      <c r="D17" s="2" t="s">
        <v>199</v>
      </c>
      <c r="E17" s="101" t="s">
        <v>106</v>
      </c>
      <c r="I17" s="39">
        <v>0.15967880587683667</v>
      </c>
      <c r="J17" s="39">
        <v>0.16864475929085374</v>
      </c>
      <c r="K17" s="39">
        <v>0.14767300841355283</v>
      </c>
      <c r="L17" s="39">
        <v>0.19969695785123623</v>
      </c>
      <c r="M17" s="39">
        <v>0.19819352290439213</v>
      </c>
      <c r="N17" s="39">
        <v>0.1964063250317073</v>
      </c>
      <c r="O17" s="39">
        <v>0.19433764591264241</v>
      </c>
      <c r="P17" s="39">
        <v>0.1869524962327174</v>
      </c>
    </row>
    <row r="18" spans="3:16">
      <c r="D18" s="2" t="s">
        <v>207</v>
      </c>
      <c r="E18" s="101" t="s">
        <v>106</v>
      </c>
      <c r="J18" s="39">
        <v>0.11268811941759282</v>
      </c>
      <c r="K18" s="39">
        <v>-0.14306135913789153</v>
      </c>
      <c r="L18" s="39">
        <v>0.49635910318114163</v>
      </c>
      <c r="M18" s="39">
        <v>3.1815820514538462E-2</v>
      </c>
      <c r="N18" s="39">
        <v>3.0063564089002348E-2</v>
      </c>
      <c r="O18" s="39">
        <v>2.8290200675249677E-2</v>
      </c>
      <c r="P18" s="39">
        <v>-1.2170550998732654E-2</v>
      </c>
    </row>
    <row r="19" spans="3:16">
      <c r="E19" s="101"/>
    </row>
    <row r="20" spans="3:16">
      <c r="C20" s="9" t="s">
        <v>14</v>
      </c>
      <c r="E20" s="101"/>
    </row>
    <row r="21" spans="3:16">
      <c r="D21" s="2" t="s">
        <v>14</v>
      </c>
      <c r="E21" s="101" t="s">
        <v>92</v>
      </c>
      <c r="I21" s="2">
        <v>345.70000000000078</v>
      </c>
      <c r="J21" s="2">
        <v>349.49999999999966</v>
      </c>
      <c r="K21" s="2">
        <v>267.20000000000113</v>
      </c>
      <c r="L21" s="2">
        <v>604.21444392168678</v>
      </c>
      <c r="M21" s="2">
        <v>628.6760534973007</v>
      </c>
      <c r="N21" s="2">
        <v>654.33977731865116</v>
      </c>
      <c r="O21" s="2">
        <v>679.87218953301738</v>
      </c>
      <c r="P21" s="2">
        <v>673.21633552877734</v>
      </c>
    </row>
    <row r="22" spans="3:16">
      <c r="D22" s="2" t="s">
        <v>202</v>
      </c>
      <c r="E22" s="101" t="s">
        <v>106</v>
      </c>
      <c r="I22" s="39">
        <v>6.7540637699281175E-2</v>
      </c>
      <c r="J22" s="39">
        <v>6.4813441139381298E-2</v>
      </c>
      <c r="K22" s="39">
        <v>5.0632911392405271E-2</v>
      </c>
      <c r="L22" s="39">
        <v>0.10347180989171487</v>
      </c>
      <c r="M22" s="39">
        <v>0.10355562324941546</v>
      </c>
      <c r="N22" s="39">
        <v>0.10369362982459883</v>
      </c>
      <c r="O22" s="39">
        <v>0.10367207783837878</v>
      </c>
      <c r="P22" s="39">
        <v>9.9972725798749232E-2</v>
      </c>
    </row>
    <row r="23" spans="3:16">
      <c r="D23" s="2" t="s">
        <v>208</v>
      </c>
      <c r="E23" s="101" t="s">
        <v>106</v>
      </c>
      <c r="J23" s="39">
        <v>1.0992189759904125E-2</v>
      </c>
      <c r="K23" s="39">
        <v>-0.23547925608011044</v>
      </c>
      <c r="L23" s="39">
        <v>1.2612816015033093</v>
      </c>
      <c r="M23" s="39">
        <v>4.0484979830744283E-2</v>
      </c>
      <c r="N23" s="39">
        <v>4.0821856787107036E-2</v>
      </c>
      <c r="O23" s="39">
        <v>3.9020113249102373E-2</v>
      </c>
      <c r="P23" s="39">
        <v>-9.789860663092731E-3</v>
      </c>
    </row>
    <row r="24" spans="3:16">
      <c r="E24" s="101"/>
    </row>
    <row r="25" spans="3:16">
      <c r="C25" s="9" t="s">
        <v>200</v>
      </c>
      <c r="E25" s="101"/>
    </row>
    <row r="26" spans="3:16">
      <c r="D26" s="2" t="s">
        <v>201</v>
      </c>
      <c r="E26" s="101" t="s">
        <v>106</v>
      </c>
      <c r="I26" s="39">
        <v>0.19213027288389972</v>
      </c>
      <c r="J26" s="39">
        <v>0.20526223057496898</v>
      </c>
      <c r="K26" s="39">
        <v>0.16599366341554389</v>
      </c>
      <c r="L26" s="39">
        <v>0.31759983921616197</v>
      </c>
      <c r="M26" s="39">
        <v>0.27720405824967681</v>
      </c>
      <c r="N26" s="39">
        <v>0.24226001207114617</v>
      </c>
      <c r="O26" s="39">
        <v>0.21636983407721488</v>
      </c>
      <c r="P26" s="39">
        <v>0.18805031541617415</v>
      </c>
    </row>
    <row r="27" spans="3:16">
      <c r="D27" s="2" t="s">
        <v>202</v>
      </c>
      <c r="E27" s="101" t="s">
        <v>106</v>
      </c>
      <c r="I27" s="39">
        <v>6.7540637699281175E-2</v>
      </c>
      <c r="J27" s="39">
        <v>6.4813441139381298E-2</v>
      </c>
      <c r="K27" s="39">
        <v>5.0632911392405271E-2</v>
      </c>
      <c r="L27" s="39">
        <v>0.10347180989171487</v>
      </c>
      <c r="M27" s="39">
        <v>0.10355562324941546</v>
      </c>
      <c r="N27" s="39">
        <v>0.10369362982459883</v>
      </c>
      <c r="O27" s="39">
        <v>0.10367207783837878</v>
      </c>
      <c r="P27" s="39">
        <v>9.9972725798749232E-2</v>
      </c>
    </row>
    <row r="28" spans="3:16">
      <c r="D28" s="2" t="s">
        <v>203</v>
      </c>
      <c r="E28" s="101" t="s">
        <v>187</v>
      </c>
      <c r="I28" s="99">
        <v>0.9224004325103623</v>
      </c>
      <c r="J28" s="99">
        <v>0.94719831371860175</v>
      </c>
      <c r="K28" s="99">
        <v>0.97870919881305651</v>
      </c>
      <c r="L28" s="99">
        <v>1.0561662877604643</v>
      </c>
      <c r="M28" s="99">
        <v>1.0623035151310836</v>
      </c>
      <c r="N28" s="99">
        <v>1.0577479514725416</v>
      </c>
      <c r="O28" s="99">
        <v>1.0519120760307494</v>
      </c>
      <c r="P28" s="99">
        <v>1.0368486589178172</v>
      </c>
    </row>
    <row r="29" spans="3:16">
      <c r="D29" s="2" t="s">
        <v>204</v>
      </c>
      <c r="E29" s="101" t="s">
        <v>187</v>
      </c>
      <c r="I29" s="99">
        <v>3.0839771022064135</v>
      </c>
      <c r="J29" s="99">
        <v>3.3435132436718158</v>
      </c>
      <c r="K29" s="99">
        <v>3.3496924892837159</v>
      </c>
      <c r="L29" s="99">
        <v>2.9062028697413465</v>
      </c>
      <c r="M29" s="99">
        <v>2.5291682288073369</v>
      </c>
      <c r="N29" s="99">
        <v>2.2244776239192481</v>
      </c>
      <c r="O29" s="99">
        <v>1.9976525753274705</v>
      </c>
      <c r="P29" s="99">
        <v>1.8267161308094548</v>
      </c>
    </row>
    <row r="30" spans="3:16">
      <c r="E30" s="101"/>
    </row>
    <row r="31" spans="3:16">
      <c r="E31" s="101"/>
    </row>
    <row r="32" spans="3:16">
      <c r="E32" s="101"/>
    </row>
    <row r="33" spans="2:16">
      <c r="E33" s="101"/>
    </row>
    <row r="34" spans="2:16" ht="20" thickBot="1">
      <c r="B34" s="97" t="s">
        <v>211</v>
      </c>
      <c r="C34" s="97"/>
      <c r="D34" s="97"/>
      <c r="E34" s="14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</row>
    <row r="35" spans="2:16" ht="13.5" thickTop="1">
      <c r="E35" s="101"/>
    </row>
    <row r="36" spans="2:16">
      <c r="C36" s="9" t="s">
        <v>64</v>
      </c>
      <c r="E36" s="101"/>
    </row>
    <row r="37" spans="2:16">
      <c r="D37" s="2" t="s">
        <v>64</v>
      </c>
      <c r="E37" s="101" t="s">
        <v>92</v>
      </c>
      <c r="I37" s="2">
        <v>5118.4000000000005</v>
      </c>
      <c r="J37" s="2">
        <v>5392.4</v>
      </c>
      <c r="K37" s="2">
        <v>5277.2000000000007</v>
      </c>
      <c r="L37" s="2">
        <v>6486.0191542518742</v>
      </c>
      <c r="M37" s="2">
        <v>6808.9302507171278</v>
      </c>
      <c r="N37" s="2">
        <v>7146.4997504709891</v>
      </c>
      <c r="O37" s="2">
        <v>7307.3</v>
      </c>
      <c r="P37" s="2">
        <v>7407.4</v>
      </c>
    </row>
    <row r="38" spans="2:16">
      <c r="D38" s="2" t="s">
        <v>206</v>
      </c>
      <c r="E38" s="101" t="s">
        <v>106</v>
      </c>
      <c r="J38" s="39">
        <v>5.3532353860581194E-2</v>
      </c>
      <c r="K38" s="39">
        <v>-2.1363400341220751E-2</v>
      </c>
      <c r="L38" s="39">
        <v>0.22906449523457018</v>
      </c>
      <c r="M38" s="39">
        <v>4.9785714285714322E-2</v>
      </c>
      <c r="N38" s="39">
        <v>4.9577464788732151E-2</v>
      </c>
      <c r="O38" s="39">
        <v>2.2500560434276062E-2</v>
      </c>
      <c r="P38" s="39">
        <v>1.3698630136986134E-2</v>
      </c>
    </row>
    <row r="39" spans="2:16">
      <c r="E39" s="101"/>
    </row>
    <row r="40" spans="2:16">
      <c r="C40" s="9" t="s">
        <v>7</v>
      </c>
      <c r="E40" s="101"/>
    </row>
    <row r="41" spans="2:16">
      <c r="D41" s="2" t="s">
        <v>7</v>
      </c>
      <c r="E41" s="101" t="s">
        <v>92</v>
      </c>
      <c r="I41" s="2">
        <v>817.30000000000086</v>
      </c>
      <c r="J41" s="2">
        <v>909.39999999999964</v>
      </c>
      <c r="K41" s="2">
        <v>779.30000000000109</v>
      </c>
      <c r="L41" s="2">
        <v>1826.1094882518746</v>
      </c>
      <c r="M41" s="2">
        <v>1980.6949092009281</v>
      </c>
      <c r="N41" s="2">
        <v>2142.3876191699374</v>
      </c>
      <c r="O41" s="2">
        <v>2182.7863174597078</v>
      </c>
      <c r="P41" s="2">
        <v>2180.3960438089016</v>
      </c>
    </row>
    <row r="42" spans="2:16">
      <c r="D42" s="2" t="s">
        <v>199</v>
      </c>
      <c r="E42" s="101" t="s">
        <v>106</v>
      </c>
      <c r="I42" s="39">
        <v>0.15967880587683667</v>
      </c>
      <c r="J42" s="39">
        <v>0.16864475929085374</v>
      </c>
      <c r="K42" s="39">
        <v>0.14767300841355283</v>
      </c>
      <c r="L42" s="39">
        <v>0.28154549729548339</v>
      </c>
      <c r="M42" s="39">
        <v>0.29089663666217142</v>
      </c>
      <c r="N42" s="39">
        <v>0.29978138864816212</v>
      </c>
      <c r="O42" s="39">
        <v>0.29871311119835064</v>
      </c>
      <c r="P42" s="39">
        <v>0.29435376026796201</v>
      </c>
    </row>
    <row r="43" spans="2:16">
      <c r="D43" s="2" t="s">
        <v>207</v>
      </c>
      <c r="E43" s="101" t="s">
        <v>106</v>
      </c>
      <c r="J43" s="39">
        <v>0.11268811941759282</v>
      </c>
      <c r="K43" s="39">
        <v>-0.14306135913789153</v>
      </c>
      <c r="L43" s="39">
        <v>1.3432689442472374</v>
      </c>
      <c r="M43" s="39">
        <v>8.4652876480608708E-2</v>
      </c>
      <c r="N43" s="39">
        <v>8.1634334100571193E-2</v>
      </c>
      <c r="O43" s="39">
        <v>1.8856857614507172E-2</v>
      </c>
      <c r="P43" s="39">
        <v>-1.0950561819481619E-3</v>
      </c>
    </row>
    <row r="44" spans="2:16">
      <c r="E44" s="101"/>
    </row>
    <row r="45" spans="2:16">
      <c r="C45" s="9" t="s">
        <v>14</v>
      </c>
      <c r="E45" s="101"/>
    </row>
    <row r="46" spans="2:16">
      <c r="D46" s="2" t="s">
        <v>14</v>
      </c>
      <c r="E46" s="101" t="s">
        <v>92</v>
      </c>
      <c r="I46" s="2">
        <v>345.70000000000078</v>
      </c>
      <c r="J46" s="2">
        <v>349.49999999999966</v>
      </c>
      <c r="K46" s="2">
        <v>267.20000000000113</v>
      </c>
      <c r="L46" s="2">
        <v>1037.3270895433059</v>
      </c>
      <c r="M46" s="2">
        <v>1145.5276297881301</v>
      </c>
      <c r="N46" s="2">
        <v>1261.4734561435916</v>
      </c>
      <c r="O46" s="2">
        <v>1300.3688286262927</v>
      </c>
      <c r="P46" s="2">
        <v>1312.3572606331402</v>
      </c>
    </row>
    <row r="47" spans="2:16">
      <c r="D47" s="2" t="s">
        <v>202</v>
      </c>
      <c r="E47" s="101" t="s">
        <v>106</v>
      </c>
      <c r="I47" s="39">
        <v>6.7540637699281175E-2</v>
      </c>
      <c r="J47" s="39">
        <v>6.4813441139381298E-2</v>
      </c>
      <c r="K47" s="39">
        <v>5.0632911392405271E-2</v>
      </c>
      <c r="L47" s="39">
        <v>0.1599327823235446</v>
      </c>
      <c r="M47" s="39">
        <v>0.16823900195885855</v>
      </c>
      <c r="N47" s="39">
        <v>0.17651626673050039</v>
      </c>
      <c r="O47" s="39">
        <v>0.17795476148868838</v>
      </c>
      <c r="P47" s="39">
        <v>0.17716840735388129</v>
      </c>
    </row>
    <row r="48" spans="2:16">
      <c r="D48" s="2" t="s">
        <v>208</v>
      </c>
      <c r="E48" s="101" t="s">
        <v>106</v>
      </c>
      <c r="J48" s="39">
        <v>1.0992189759904125E-2</v>
      </c>
      <c r="K48" s="39">
        <v>-0.23547925608011044</v>
      </c>
      <c r="L48" s="39">
        <v>2.8822121614644516</v>
      </c>
      <c r="M48" s="39">
        <v>0.10430706123028233</v>
      </c>
      <c r="N48" s="39">
        <v>0.10121608884886202</v>
      </c>
      <c r="O48" s="39">
        <v>3.0833286497844226E-2</v>
      </c>
      <c r="P48" s="39">
        <v>9.2192551397221045E-3</v>
      </c>
    </row>
    <row r="49" spans="2:16">
      <c r="E49" s="101"/>
    </row>
    <row r="50" spans="2:16">
      <c r="C50" s="9" t="s">
        <v>200</v>
      </c>
      <c r="E50" s="101"/>
    </row>
    <row r="51" spans="2:16">
      <c r="D51" s="2" t="s">
        <v>201</v>
      </c>
      <c r="E51" s="101" t="s">
        <v>106</v>
      </c>
      <c r="I51" s="39">
        <v>0.19213027288389972</v>
      </c>
      <c r="J51" s="39">
        <v>0.20526223057496898</v>
      </c>
      <c r="K51" s="39">
        <v>0.16599366341554389</v>
      </c>
      <c r="L51" s="39">
        <v>0.47497474803232081</v>
      </c>
      <c r="M51" s="39">
        <v>0.3973563751826204</v>
      </c>
      <c r="N51" s="39">
        <v>0.3402401504929331</v>
      </c>
      <c r="O51" s="39">
        <v>0.28564285914497561</v>
      </c>
      <c r="P51" s="39">
        <v>0.24279025440424148</v>
      </c>
    </row>
    <row r="52" spans="2:16">
      <c r="D52" s="2" t="s">
        <v>202</v>
      </c>
      <c r="E52" s="101" t="s">
        <v>106</v>
      </c>
      <c r="I52" s="39">
        <v>6.7540637699281175E-2</v>
      </c>
      <c r="J52" s="39">
        <v>6.4813441139381298E-2</v>
      </c>
      <c r="K52" s="39">
        <v>5.0632911392405271E-2</v>
      </c>
      <c r="L52" s="39">
        <v>0.1599327823235446</v>
      </c>
      <c r="M52" s="39">
        <v>0.16823900195885855</v>
      </c>
      <c r="N52" s="39">
        <v>0.17651626673050039</v>
      </c>
      <c r="O52" s="39">
        <v>0.17795476148868838</v>
      </c>
      <c r="P52" s="39">
        <v>0.17716840735388129</v>
      </c>
    </row>
    <row r="53" spans="2:16">
      <c r="D53" s="2" t="s">
        <v>203</v>
      </c>
      <c r="E53" s="101" t="s">
        <v>187</v>
      </c>
      <c r="I53" s="99">
        <v>0.9224004325103623</v>
      </c>
      <c r="J53" s="99">
        <v>0.94719831371860175</v>
      </c>
      <c r="K53" s="99">
        <v>0.97870919881305651</v>
      </c>
      <c r="L53" s="99">
        <v>1.1165658291857126</v>
      </c>
      <c r="M53" s="99">
        <v>1.0757889412087582</v>
      </c>
      <c r="N53" s="99">
        <v>1.0248549562041278</v>
      </c>
      <c r="O53" s="99">
        <v>0.9569385544176735</v>
      </c>
      <c r="P53" s="99">
        <v>0.8920724161269693</v>
      </c>
    </row>
    <row r="54" spans="2:16">
      <c r="D54" s="2" t="s">
        <v>204</v>
      </c>
      <c r="E54" s="101" t="s">
        <v>187</v>
      </c>
      <c r="I54" s="99">
        <v>3.0839771022064135</v>
      </c>
      <c r="J54" s="99">
        <v>3.3435132436718158</v>
      </c>
      <c r="K54" s="99">
        <v>3.3496924892837159</v>
      </c>
      <c r="L54" s="99">
        <v>2.6597982478117648</v>
      </c>
      <c r="M54" s="99">
        <v>2.1999055308886453</v>
      </c>
      <c r="N54" s="99">
        <v>1.8877028128818711</v>
      </c>
      <c r="O54" s="99">
        <v>1.6833604047195758</v>
      </c>
      <c r="P54" s="99">
        <v>1.5416227091322823</v>
      </c>
    </row>
    <row r="55" spans="2:16">
      <c r="D55" s="2" t="s">
        <v>214</v>
      </c>
      <c r="E55" s="101"/>
    </row>
    <row r="56" spans="2:16">
      <c r="E56" s="101"/>
    </row>
    <row r="57" spans="2:16">
      <c r="E57" s="101"/>
    </row>
    <row r="58" spans="2:16">
      <c r="E58" s="101"/>
    </row>
    <row r="59" spans="2:16" ht="20" thickBot="1">
      <c r="B59" s="97" t="s">
        <v>212</v>
      </c>
      <c r="C59" s="97"/>
      <c r="D59" s="97"/>
      <c r="E59" s="14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</row>
    <row r="60" spans="2:16" ht="13.5" thickTop="1">
      <c r="E60" s="101"/>
    </row>
    <row r="61" spans="2:16">
      <c r="C61" s="9" t="s">
        <v>64</v>
      </c>
      <c r="E61" s="101"/>
    </row>
    <row r="62" spans="2:16">
      <c r="D62" s="2" t="s">
        <v>64</v>
      </c>
      <c r="E62" s="101" t="s">
        <v>92</v>
      </c>
      <c r="I62" s="2">
        <v>5118.4000000000005</v>
      </c>
      <c r="J62" s="2">
        <v>5392.4</v>
      </c>
      <c r="K62" s="2">
        <v>5277.2000000000007</v>
      </c>
      <c r="L62" s="2">
        <v>5493.3192529533326</v>
      </c>
      <c r="M62" s="2">
        <v>5655.3721709154561</v>
      </c>
      <c r="N62" s="2">
        <v>5821.0506795845276</v>
      </c>
      <c r="O62" s="2">
        <v>5990.4270847752159</v>
      </c>
      <c r="P62" s="2">
        <v>6163.5750457187178</v>
      </c>
    </row>
    <row r="63" spans="2:16">
      <c r="D63" s="2" t="s">
        <v>206</v>
      </c>
      <c r="E63" s="101" t="s">
        <v>106</v>
      </c>
      <c r="J63" s="39">
        <v>5.3532353860581194E-2</v>
      </c>
      <c r="K63" s="39">
        <v>-2.1363400341220751E-2</v>
      </c>
      <c r="L63" s="39">
        <v>4.0953394404860788E-2</v>
      </c>
      <c r="M63" s="39">
        <v>2.9500000000000082E-2</v>
      </c>
      <c r="N63" s="39">
        <v>2.9295774647887241E-2</v>
      </c>
      <c r="O63" s="39">
        <v>2.9097222222222108E-2</v>
      </c>
      <c r="P63" s="39">
        <v>2.8904109589040994E-2</v>
      </c>
    </row>
    <row r="64" spans="2:16">
      <c r="E64" s="101"/>
    </row>
    <row r="65" spans="3:16">
      <c r="C65" s="9" t="s">
        <v>7</v>
      </c>
      <c r="E65" s="101"/>
    </row>
    <row r="66" spans="3:16">
      <c r="D66" s="2" t="s">
        <v>7</v>
      </c>
      <c r="E66" s="101" t="s">
        <v>92</v>
      </c>
      <c r="I66" s="2">
        <v>817.30000000000086</v>
      </c>
      <c r="J66" s="2">
        <v>909.39999999999964</v>
      </c>
      <c r="K66" s="2">
        <v>779.30000000000109</v>
      </c>
      <c r="L66" s="2">
        <v>807.03052495333213</v>
      </c>
      <c r="M66" s="2">
        <v>748.80618771865647</v>
      </c>
      <c r="N66" s="2">
        <v>683.57124172518616</v>
      </c>
      <c r="O66" s="2">
        <v>610.87106873422272</v>
      </c>
      <c r="P66" s="2">
        <v>530.22568489170681</v>
      </c>
    </row>
    <row r="67" spans="3:16">
      <c r="D67" s="2" t="s">
        <v>199</v>
      </c>
      <c r="E67" s="101" t="s">
        <v>106</v>
      </c>
      <c r="I67" s="39">
        <v>0.15967880587683667</v>
      </c>
      <c r="J67" s="39">
        <v>0.16864475929085374</v>
      </c>
      <c r="K67" s="39">
        <v>0.14767300841355283</v>
      </c>
      <c r="L67" s="39">
        <v>0.14691127309221183</v>
      </c>
      <c r="M67" s="39">
        <v>0.13240617329653911</v>
      </c>
      <c r="N67" s="39">
        <v>0.11743090368936204</v>
      </c>
      <c r="O67" s="39">
        <v>0.10197454373274371</v>
      </c>
      <c r="P67" s="39">
        <v>8.6025671945051924E-2</v>
      </c>
    </row>
    <row r="68" spans="3:16">
      <c r="D68" s="2" t="s">
        <v>207</v>
      </c>
      <c r="E68" s="101" t="s">
        <v>106</v>
      </c>
      <c r="J68" s="39">
        <v>0.11268811941759282</v>
      </c>
      <c r="K68" s="39">
        <v>-0.14306135913789153</v>
      </c>
      <c r="L68" s="39">
        <v>3.5583889328026475E-2</v>
      </c>
      <c r="M68" s="39">
        <v>-7.2146387818530888E-2</v>
      </c>
      <c r="N68" s="39">
        <v>-8.7118598995846619E-2</v>
      </c>
      <c r="O68" s="39">
        <v>-0.10635346918264721</v>
      </c>
      <c r="P68" s="39">
        <v>-0.13201702940298032</v>
      </c>
    </row>
    <row r="69" spans="3:16">
      <c r="E69" s="101"/>
    </row>
    <row r="70" spans="3:16">
      <c r="C70" s="9" t="s">
        <v>14</v>
      </c>
      <c r="E70" s="101"/>
    </row>
    <row r="71" spans="3:16">
      <c r="D71" s="2" t="s">
        <v>14</v>
      </c>
      <c r="E71" s="101" t="s">
        <v>92</v>
      </c>
      <c r="I71" s="2">
        <v>345.70000000000078</v>
      </c>
      <c r="J71" s="2">
        <v>349.49999999999966</v>
      </c>
      <c r="K71" s="2">
        <v>267.20000000000113</v>
      </c>
      <c r="L71" s="2">
        <v>368.52188821289224</v>
      </c>
      <c r="M71" s="2">
        <v>322.18229595997934</v>
      </c>
      <c r="N71" s="2">
        <v>269.50037052142409</v>
      </c>
      <c r="O71" s="2">
        <v>210.5794508041302</v>
      </c>
      <c r="P71" s="2">
        <v>145.1536520362063</v>
      </c>
    </row>
    <row r="72" spans="3:16">
      <c r="D72" s="2" t="s">
        <v>202</v>
      </c>
      <c r="E72" s="101" t="s">
        <v>106</v>
      </c>
      <c r="I72" s="39">
        <v>6.7540637699281175E-2</v>
      </c>
      <c r="J72" s="39">
        <v>6.4813441139381298E-2</v>
      </c>
      <c r="K72" s="39">
        <v>5.0632911392405271E-2</v>
      </c>
      <c r="L72" s="39">
        <v>6.7085467136243096E-2</v>
      </c>
      <c r="M72" s="39">
        <v>5.6969247332103783E-2</v>
      </c>
      <c r="N72" s="39">
        <v>4.6297547531515298E-2</v>
      </c>
      <c r="O72" s="39">
        <v>3.5152660707501455E-2</v>
      </c>
      <c r="P72" s="39">
        <v>2.355023682838607E-2</v>
      </c>
    </row>
    <row r="73" spans="3:16">
      <c r="D73" s="2" t="s">
        <v>208</v>
      </c>
      <c r="E73" s="101" t="s">
        <v>106</v>
      </c>
      <c r="J73" s="39">
        <v>1.0992189759904125E-2</v>
      </c>
      <c r="K73" s="39">
        <v>-0.23547925608011044</v>
      </c>
      <c r="L73" s="39">
        <v>0.37919868343147711</v>
      </c>
      <c r="M73" s="39">
        <v>-0.1257444774247517</v>
      </c>
      <c r="N73" s="39">
        <v>-0.16351589177668302</v>
      </c>
      <c r="O73" s="39">
        <v>-0.21863019929544003</v>
      </c>
      <c r="P73" s="39">
        <v>-0.31069412764676407</v>
      </c>
    </row>
    <row r="74" spans="3:16">
      <c r="E74" s="101"/>
    </row>
    <row r="75" spans="3:16">
      <c r="C75" s="9" t="s">
        <v>200</v>
      </c>
      <c r="E75" s="101"/>
    </row>
    <row r="76" spans="3:16">
      <c r="D76" s="2" t="s">
        <v>201</v>
      </c>
      <c r="E76" s="101" t="s">
        <v>106</v>
      </c>
      <c r="I76" s="39">
        <v>0.19213027288389972</v>
      </c>
      <c r="J76" s="39">
        <v>0.20526223057496898</v>
      </c>
      <c r="K76" s="39">
        <v>0.16599366341554389</v>
      </c>
      <c r="L76" s="39">
        <v>0.21067552250907973</v>
      </c>
      <c r="M76" s="39">
        <v>0.16772095814730223</v>
      </c>
      <c r="N76" s="39">
        <v>0.12738535375332358</v>
      </c>
      <c r="O76" s="39">
        <v>9.3057568815829245E-2</v>
      </c>
      <c r="P76" s="39">
        <v>6.09791092439999E-2</v>
      </c>
    </row>
    <row r="77" spans="3:16">
      <c r="D77" s="2" t="s">
        <v>202</v>
      </c>
      <c r="E77" s="101" t="s">
        <v>106</v>
      </c>
      <c r="I77" s="39">
        <v>6.7540637699281175E-2</v>
      </c>
      <c r="J77" s="39">
        <v>6.4813441139381298E-2</v>
      </c>
      <c r="K77" s="39">
        <v>5.0632911392405271E-2</v>
      </c>
      <c r="L77" s="39">
        <v>6.7085467136243096E-2</v>
      </c>
      <c r="M77" s="39">
        <v>5.6969247332103783E-2</v>
      </c>
      <c r="N77" s="39">
        <v>4.6297547531515298E-2</v>
      </c>
      <c r="O77" s="39">
        <v>3.5152660707501455E-2</v>
      </c>
      <c r="P77" s="39">
        <v>2.355023682838607E-2</v>
      </c>
    </row>
    <row r="78" spans="3:16">
      <c r="D78" s="2" t="s">
        <v>203</v>
      </c>
      <c r="E78" s="101" t="s">
        <v>187</v>
      </c>
      <c r="I78" s="99">
        <v>0.9224004325103623</v>
      </c>
      <c r="J78" s="99">
        <v>0.94719831371860175</v>
      </c>
      <c r="K78" s="99">
        <v>0.97870919881305651</v>
      </c>
      <c r="L78" s="99">
        <v>1.021608393471273</v>
      </c>
      <c r="M78" s="99">
        <v>1.0211402828321821</v>
      </c>
      <c r="N78" s="99">
        <v>1.0023408461715537</v>
      </c>
      <c r="O78" s="99">
        <v>0.98724952678090161</v>
      </c>
      <c r="P78" s="99">
        <v>0.9763478366808811</v>
      </c>
    </row>
    <row r="79" spans="3:16">
      <c r="D79" s="2" t="s">
        <v>204</v>
      </c>
      <c r="E79" s="101" t="s">
        <v>187</v>
      </c>
      <c r="I79" s="99">
        <v>3.0839771022064135</v>
      </c>
      <c r="J79" s="99">
        <v>3.3435132436718158</v>
      </c>
      <c r="K79" s="99">
        <v>3.3496924892837159</v>
      </c>
      <c r="L79" s="99">
        <v>3.0739810016032636</v>
      </c>
      <c r="M79" s="99">
        <v>2.9039550046852689</v>
      </c>
      <c r="N79" s="99">
        <v>2.7929545732412362</v>
      </c>
      <c r="O79" s="99">
        <v>2.7416459638781969</v>
      </c>
      <c r="P79" s="99">
        <v>2.7393297585878638</v>
      </c>
    </row>
    <row r="80" spans="3:16">
      <c r="E80" s="101"/>
    </row>
    <row r="81" spans="1:16">
      <c r="E81" s="101"/>
    </row>
    <row r="82" spans="1:16">
      <c r="E82" s="101"/>
    </row>
    <row r="83" spans="1:16">
      <c r="E83" s="101"/>
    </row>
    <row r="84" spans="1:16">
      <c r="E84" s="101"/>
    </row>
    <row r="85" spans="1:16">
      <c r="E85" s="101"/>
    </row>
    <row r="86" spans="1:16" ht="13.5" thickBot="1">
      <c r="A86" s="95" t="s">
        <v>213</v>
      </c>
      <c r="B86" s="95"/>
      <c r="C86" s="95"/>
      <c r="D86" s="95"/>
      <c r="E86" s="148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</row>
    <row r="87" spans="1:16" ht="20.5" thickTop="1" thickBot="1">
      <c r="B87" s="97" t="str" cm="1">
        <f t="array" ref="B87">"Analysis Based On: "&amp;INDEX(L_Scenarios,S_Scenarios)</f>
        <v>Analysis Based On: Base Case</v>
      </c>
      <c r="C87" s="97"/>
      <c r="D87" s="97"/>
      <c r="E87" s="147"/>
      <c r="F87" s="97"/>
      <c r="G87" s="97"/>
      <c r="H87" s="97"/>
      <c r="I87" s="97"/>
      <c r="J87" s="97"/>
      <c r="K87" s="97"/>
      <c r="L87" s="97"/>
      <c r="M87" s="97"/>
      <c r="N87" s="97"/>
      <c r="O87" s="97"/>
      <c r="P87" s="97"/>
    </row>
    <row r="88" spans="1:16" ht="13.5" thickTop="1">
      <c r="E88" s="101"/>
    </row>
    <row r="89" spans="1:16">
      <c r="C89" s="9" t="s">
        <v>64</v>
      </c>
      <c r="E89" s="101"/>
    </row>
    <row r="90" spans="1:16">
      <c r="D90" s="2" t="str">
        <f>Model!D21</f>
        <v>Net Revenue</v>
      </c>
      <c r="E90" s="101" t="str">
        <f>Model!E21</f>
        <v>$'m</v>
      </c>
      <c r="I90" s="2">
        <f>Model!I21</f>
        <v>5118.4000000000005</v>
      </c>
      <c r="J90" s="2">
        <f>Model!J21</f>
        <v>5392.4</v>
      </c>
      <c r="K90" s="2">
        <f>Model!K21</f>
        <v>5277.2000000000007</v>
      </c>
      <c r="L90" s="2">
        <f>Model!L21</f>
        <v>5839.4111841090653</v>
      </c>
      <c r="M90" s="2">
        <f>Model!M21</f>
        <v>6070.9021274791021</v>
      </c>
      <c r="N90" s="2">
        <f>Model!N21</f>
        <v>6310.3179860275732</v>
      </c>
      <c r="O90" s="2">
        <f>Model!O21</f>
        <v>6557.9103236737938</v>
      </c>
      <c r="P90" s="2">
        <f>Model!P21</f>
        <v>6734</v>
      </c>
    </row>
    <row r="91" spans="1:16">
      <c r="D91" s="2" t="s">
        <v>206</v>
      </c>
      <c r="E91" s="101" t="s">
        <v>106</v>
      </c>
      <c r="J91" s="39">
        <f>J90/I90-1</f>
        <v>5.3532353860581194E-2</v>
      </c>
      <c r="K91" s="39">
        <f t="shared" ref="K91:P91" si="1">K90/J90-1</f>
        <v>-2.1363400341220751E-2</v>
      </c>
      <c r="L91" s="39">
        <f t="shared" si="1"/>
        <v>0.10653588723358309</v>
      </c>
      <c r="M91" s="39">
        <f t="shared" si="1"/>
        <v>3.9642857142856869E-2</v>
      </c>
      <c r="N91" s="39">
        <f t="shared" si="1"/>
        <v>3.9436619718309807E-2</v>
      </c>
      <c r="O91" s="39">
        <f t="shared" si="1"/>
        <v>3.9236111111111027E-2</v>
      </c>
      <c r="P91" s="39">
        <f t="shared" si="1"/>
        <v>2.6851491959341001E-2</v>
      </c>
    </row>
    <row r="92" spans="1:16">
      <c r="E92" s="101"/>
    </row>
    <row r="93" spans="1:16">
      <c r="C93" s="9" t="s">
        <v>7</v>
      </c>
      <c r="E93" s="101"/>
    </row>
    <row r="94" spans="1:16">
      <c r="D94" s="2" t="str">
        <f>Model!D28</f>
        <v>EBITDA</v>
      </c>
      <c r="E94" s="101" t="str">
        <f>Model!E28</f>
        <v>$'m</v>
      </c>
      <c r="I94" s="2">
        <f>Model!I28</f>
        <v>817.30000000000086</v>
      </c>
      <c r="J94" s="2">
        <f>Model!J28</f>
        <v>909.39999999999964</v>
      </c>
      <c r="K94" s="2">
        <f>Model!K28</f>
        <v>779.30000000000109</v>
      </c>
      <c r="L94" s="2">
        <f>Model!L28</f>
        <v>1166.1126491090654</v>
      </c>
      <c r="M94" s="2">
        <f>Model!M28</f>
        <v>1203.2134798528523</v>
      </c>
      <c r="N94" s="2">
        <f>Model!N28</f>
        <v>1239.3863654171601</v>
      </c>
      <c r="O94" s="2">
        <f>Model!O28</f>
        <v>1274.44885440898</v>
      </c>
      <c r="P94" s="2">
        <f>Model!P28</f>
        <v>1258.938109631119</v>
      </c>
    </row>
    <row r="95" spans="1:16">
      <c r="D95" s="2" t="str">
        <f>Model!D47</f>
        <v>EBITDA Margin</v>
      </c>
      <c r="E95" s="101" t="str">
        <f>Model!E47</f>
        <v>%</v>
      </c>
      <c r="I95" s="39">
        <f>Model!I47</f>
        <v>0.15967880587683667</v>
      </c>
      <c r="J95" s="39">
        <f>Model!J47</f>
        <v>0.16864475929085374</v>
      </c>
      <c r="K95" s="39">
        <f>Model!K47</f>
        <v>0.14767300841355283</v>
      </c>
      <c r="L95" s="39">
        <f>Model!L47</f>
        <v>0.19969695785123623</v>
      </c>
      <c r="M95" s="39">
        <f>Model!M47</f>
        <v>0.19819352290439213</v>
      </c>
      <c r="N95" s="39">
        <f>Model!N47</f>
        <v>0.1964063250317073</v>
      </c>
      <c r="O95" s="39">
        <f>Model!O47</f>
        <v>0.19433764591264241</v>
      </c>
      <c r="P95" s="39">
        <f>Model!P47</f>
        <v>0.1869524962327174</v>
      </c>
    </row>
    <row r="96" spans="1:16">
      <c r="D96" s="2" t="s">
        <v>207</v>
      </c>
      <c r="E96" s="101" t="s">
        <v>106</v>
      </c>
      <c r="J96" s="39">
        <f>J94/I94-1</f>
        <v>0.11268811941759282</v>
      </c>
      <c r="K96" s="39">
        <f t="shared" ref="K96" si="2">K94/J94-1</f>
        <v>-0.14306135913789153</v>
      </c>
      <c r="L96" s="39">
        <f t="shared" ref="L96" si="3">L94/K94-1</f>
        <v>0.49635910318114163</v>
      </c>
      <c r="M96" s="39">
        <f t="shared" ref="M96" si="4">M94/L94-1</f>
        <v>3.1815820514538462E-2</v>
      </c>
      <c r="N96" s="39">
        <f t="shared" ref="N96" si="5">N94/M94-1</f>
        <v>3.0063564089002348E-2</v>
      </c>
      <c r="O96" s="39">
        <f t="shared" ref="O96" si="6">O94/N94-1</f>
        <v>2.8290200675249677E-2</v>
      </c>
      <c r="P96" s="39">
        <f t="shared" ref="P96" si="7">P94/O94-1</f>
        <v>-1.2170550998732654E-2</v>
      </c>
    </row>
    <row r="97" spans="3:16">
      <c r="E97" s="101"/>
    </row>
    <row r="98" spans="3:16">
      <c r="C98" s="9" t="s">
        <v>14</v>
      </c>
      <c r="E98" s="101"/>
    </row>
    <row r="99" spans="3:16">
      <c r="D99" s="2" t="str">
        <f>Model!D41</f>
        <v>Net Income</v>
      </c>
      <c r="E99" s="101" t="str">
        <f>Model!E41</f>
        <v>$'m</v>
      </c>
      <c r="I99" s="2">
        <f>Model!I41</f>
        <v>345.70000000000078</v>
      </c>
      <c r="J99" s="2">
        <f>Model!J41</f>
        <v>349.49999999999966</v>
      </c>
      <c r="K99" s="2">
        <f>Model!K41</f>
        <v>267.20000000000113</v>
      </c>
      <c r="L99" s="2">
        <f ca="1">Model!L41</f>
        <v>604.21444392168678</v>
      </c>
      <c r="M99" s="2">
        <f ca="1">Model!M41</f>
        <v>628.6760534973007</v>
      </c>
      <c r="N99" s="2">
        <f ca="1">Model!N41</f>
        <v>654.33977731865116</v>
      </c>
      <c r="O99" s="2">
        <f ca="1">Model!O41</f>
        <v>679.87218953301738</v>
      </c>
      <c r="P99" s="2">
        <f ca="1">Model!P41</f>
        <v>673.21633552877734</v>
      </c>
    </row>
    <row r="100" spans="3:16">
      <c r="D100" s="2" t="str">
        <f>Model!D50</f>
        <v>Net Profit Margin</v>
      </c>
      <c r="E100" s="101" t="str">
        <f>Model!E50</f>
        <v>%</v>
      </c>
      <c r="I100" s="39">
        <f>Model!I50</f>
        <v>6.7540637699281175E-2</v>
      </c>
      <c r="J100" s="39">
        <f>Model!J50</f>
        <v>6.4813441139381298E-2</v>
      </c>
      <c r="K100" s="39">
        <f>Model!K50</f>
        <v>5.0632911392405271E-2</v>
      </c>
      <c r="L100" s="39">
        <f ca="1">Model!L50</f>
        <v>0.10347180989171487</v>
      </c>
      <c r="M100" s="39">
        <f ca="1">Model!M50</f>
        <v>0.10355562324941546</v>
      </c>
      <c r="N100" s="39">
        <f ca="1">Model!N50</f>
        <v>0.10369362982459883</v>
      </c>
      <c r="O100" s="39">
        <f ca="1">Model!O50</f>
        <v>0.10367207783837878</v>
      </c>
      <c r="P100" s="39">
        <f ca="1">Model!P50</f>
        <v>9.9972725798749232E-2</v>
      </c>
    </row>
    <row r="101" spans="3:16">
      <c r="D101" s="2" t="s">
        <v>208</v>
      </c>
      <c r="E101" s="101" t="s">
        <v>106</v>
      </c>
      <c r="J101" s="39">
        <f>J99/I99-1</f>
        <v>1.0992189759904125E-2</v>
      </c>
      <c r="K101" s="39">
        <f t="shared" ref="K101" si="8">K99/J99-1</f>
        <v>-0.23547925608011044</v>
      </c>
      <c r="L101" s="39">
        <f t="shared" ref="L101" ca="1" si="9">L99/K99-1</f>
        <v>1.2612816015033093</v>
      </c>
      <c r="M101" s="39">
        <f t="shared" ref="M101" ca="1" si="10">M99/L99-1</f>
        <v>4.0484979830744283E-2</v>
      </c>
      <c r="N101" s="39">
        <f t="shared" ref="N101" ca="1" si="11">N99/M99-1</f>
        <v>4.0821856787107036E-2</v>
      </c>
      <c r="O101" s="39">
        <f t="shared" ref="O101" ca="1" si="12">O99/N99-1</f>
        <v>3.9020113249102373E-2</v>
      </c>
      <c r="P101" s="39">
        <f t="shared" ref="P101" ca="1" si="13">P99/O99-1</f>
        <v>-9.789860663092731E-3</v>
      </c>
    </row>
    <row r="102" spans="3:16">
      <c r="E102" s="101"/>
    </row>
    <row r="103" spans="3:16">
      <c r="C103" s="9" t="str">
        <f>Model!C48</f>
        <v>Dupont Analysis</v>
      </c>
      <c r="E103" s="101"/>
    </row>
    <row r="104" spans="3:16">
      <c r="D104" s="2" t="str">
        <f>Model!D49</f>
        <v>ROE</v>
      </c>
      <c r="E104" s="101" t="str">
        <f>Model!E49</f>
        <v>%</v>
      </c>
      <c r="I104" s="39">
        <f>Model!I49</f>
        <v>0.19213027288389972</v>
      </c>
      <c r="J104" s="39">
        <f>Model!J49</f>
        <v>0.20526223057496898</v>
      </c>
      <c r="K104" s="39">
        <f>Model!K49</f>
        <v>0.16599366341554389</v>
      </c>
      <c r="L104" s="39">
        <f ca="1">Model!L49</f>
        <v>0.31759983921616197</v>
      </c>
      <c r="M104" s="39">
        <f ca="1">Model!M49</f>
        <v>0.27720405824967681</v>
      </c>
      <c r="N104" s="39">
        <f ca="1">Model!N49</f>
        <v>0.24226001207114617</v>
      </c>
      <c r="O104" s="39">
        <f ca="1">Model!O49</f>
        <v>0.21636983407721488</v>
      </c>
      <c r="P104" s="39">
        <f ca="1">Model!P49</f>
        <v>0.18805031541617415</v>
      </c>
    </row>
    <row r="105" spans="3:16">
      <c r="D105" s="2" t="str">
        <f>Model!D50</f>
        <v>Net Profit Margin</v>
      </c>
      <c r="E105" s="101" t="str">
        <f>Model!E50</f>
        <v>%</v>
      </c>
      <c r="I105" s="39">
        <f>Model!I50</f>
        <v>6.7540637699281175E-2</v>
      </c>
      <c r="J105" s="39">
        <f>Model!J50</f>
        <v>6.4813441139381298E-2</v>
      </c>
      <c r="K105" s="39">
        <f>Model!K50</f>
        <v>5.0632911392405271E-2</v>
      </c>
      <c r="L105" s="39">
        <f ca="1">Model!L50</f>
        <v>0.10347180989171487</v>
      </c>
      <c r="M105" s="39">
        <f ca="1">Model!M50</f>
        <v>0.10355562324941546</v>
      </c>
      <c r="N105" s="39">
        <f ca="1">Model!N50</f>
        <v>0.10369362982459883</v>
      </c>
      <c r="O105" s="39">
        <f ca="1">Model!O50</f>
        <v>0.10367207783837878</v>
      </c>
      <c r="P105" s="39">
        <f ca="1">Model!P50</f>
        <v>9.9972725798749232E-2</v>
      </c>
    </row>
    <row r="106" spans="3:16">
      <c r="D106" s="2" t="str">
        <f>Model!D51</f>
        <v>Assets Turnover</v>
      </c>
      <c r="E106" s="101" t="str">
        <f>Model!E51</f>
        <v>times</v>
      </c>
      <c r="I106" s="99">
        <f>Model!I51</f>
        <v>0.9224004325103623</v>
      </c>
      <c r="J106" s="99">
        <f>Model!J51</f>
        <v>0.94719831371860175</v>
      </c>
      <c r="K106" s="99">
        <f>Model!K51</f>
        <v>0.97870919881305651</v>
      </c>
      <c r="L106" s="99">
        <f ca="1">Model!L51</f>
        <v>1.0561662877604643</v>
      </c>
      <c r="M106" s="99">
        <f ca="1">Model!M51</f>
        <v>1.0623035151310836</v>
      </c>
      <c r="N106" s="99">
        <f ca="1">Model!N51</f>
        <v>1.0577479514725416</v>
      </c>
      <c r="O106" s="99">
        <f ca="1">Model!O51</f>
        <v>1.0519120760307494</v>
      </c>
      <c r="P106" s="99">
        <f ca="1">Model!P51</f>
        <v>1.0368486589178172</v>
      </c>
    </row>
    <row r="107" spans="3:16">
      <c r="D107" s="2" t="str">
        <f>Model!D52</f>
        <v>Financial Leverage</v>
      </c>
      <c r="E107" s="101" t="str">
        <f>Model!E52</f>
        <v>times</v>
      </c>
      <c r="I107" s="99">
        <f>Model!I52</f>
        <v>3.0839771022064135</v>
      </c>
      <c r="J107" s="99">
        <f>Model!J52</f>
        <v>3.3435132436718158</v>
      </c>
      <c r="K107" s="99">
        <f>Model!K52</f>
        <v>3.3496924892837159</v>
      </c>
      <c r="L107" s="99">
        <f ca="1">Model!L52</f>
        <v>2.9062028697413465</v>
      </c>
      <c r="M107" s="99">
        <f ca="1">Model!M52</f>
        <v>2.5291682288073369</v>
      </c>
      <c r="N107" s="99">
        <f ca="1">Model!N52</f>
        <v>2.2244776239192481</v>
      </c>
      <c r="O107" s="99">
        <f ca="1">Model!O52</f>
        <v>1.9976525753274705</v>
      </c>
      <c r="P107" s="99">
        <f ca="1">Model!P52</f>
        <v>1.8267161308094548</v>
      </c>
    </row>
    <row r="108" spans="3:16">
      <c r="E108" s="101"/>
    </row>
    <row r="109" spans="3:16">
      <c r="E109" s="101"/>
    </row>
    <row r="110" spans="3:16">
      <c r="E110" s="101"/>
    </row>
    <row r="111" spans="3:16">
      <c r="E111" s="101"/>
    </row>
    <row r="112" spans="3:16">
      <c r="E112" s="101"/>
    </row>
    <row r="113" spans="5:5">
      <c r="E113" s="101"/>
    </row>
    <row r="114" spans="5:5">
      <c r="E114" s="101"/>
    </row>
    <row r="115" spans="5:5">
      <c r="E115" s="101"/>
    </row>
    <row r="116" spans="5:5">
      <c r="E116" s="101"/>
    </row>
    <row r="117" spans="5:5">
      <c r="E117" s="101"/>
    </row>
    <row r="118" spans="5:5">
      <c r="E118" s="101"/>
    </row>
    <row r="119" spans="5:5">
      <c r="E119" s="101"/>
    </row>
    <row r="120" spans="5:5">
      <c r="E120" s="101"/>
    </row>
    <row r="121" spans="5:5">
      <c r="E121" s="101"/>
    </row>
    <row r="122" spans="5:5">
      <c r="E122" s="101"/>
    </row>
    <row r="123" spans="5:5">
      <c r="E123" s="101"/>
    </row>
    <row r="124" spans="5:5">
      <c r="E124" s="101"/>
    </row>
    <row r="125" spans="5:5">
      <c r="E125" s="101"/>
    </row>
    <row r="126" spans="5:5">
      <c r="E126" s="101"/>
    </row>
    <row r="127" spans="5:5">
      <c r="E127" s="101"/>
    </row>
    <row r="128" spans="5:5">
      <c r="E128" s="101"/>
    </row>
    <row r="129" spans="5:5">
      <c r="E129" s="101"/>
    </row>
    <row r="130" spans="5:5">
      <c r="E130" s="101"/>
    </row>
    <row r="131" spans="5:5">
      <c r="E131" s="101"/>
    </row>
    <row r="132" spans="5:5">
      <c r="E132" s="101"/>
    </row>
    <row r="133" spans="5:5">
      <c r="E133" s="101"/>
    </row>
    <row r="134" spans="5:5">
      <c r="E134" s="101"/>
    </row>
    <row r="135" spans="5:5">
      <c r="E135" s="101"/>
    </row>
    <row r="136" spans="5:5">
      <c r="E136" s="101"/>
    </row>
    <row r="137" spans="5:5">
      <c r="E137" s="101"/>
    </row>
    <row r="138" spans="5:5">
      <c r="E138" s="101"/>
    </row>
    <row r="139" spans="5:5">
      <c r="E139" s="101"/>
    </row>
    <row r="140" spans="5:5">
      <c r="E140" s="101"/>
    </row>
    <row r="141" spans="5:5">
      <c r="E141" s="101"/>
    </row>
    <row r="142" spans="5:5">
      <c r="E142" s="101"/>
    </row>
    <row r="143" spans="5:5">
      <c r="E143" s="101"/>
    </row>
    <row r="144" spans="5:5">
      <c r="E144" s="101"/>
    </row>
    <row r="145" spans="5:5">
      <c r="E145" s="101"/>
    </row>
    <row r="146" spans="5:5">
      <c r="E146" s="101"/>
    </row>
    <row r="147" spans="5:5">
      <c r="E147" s="101"/>
    </row>
    <row r="148" spans="5:5">
      <c r="E148" s="101"/>
    </row>
    <row r="149" spans="5:5">
      <c r="E149" s="101"/>
    </row>
    <row r="150" spans="5:5">
      <c r="E150" s="101"/>
    </row>
    <row r="151" spans="5:5">
      <c r="E151" s="101"/>
    </row>
    <row r="152" spans="5:5">
      <c r="E152" s="101"/>
    </row>
    <row r="153" spans="5:5">
      <c r="E153" s="101"/>
    </row>
    <row r="154" spans="5:5">
      <c r="E154" s="101"/>
    </row>
    <row r="155" spans="5:5">
      <c r="E155" s="101"/>
    </row>
    <row r="156" spans="5:5">
      <c r="E156" s="101"/>
    </row>
    <row r="157" spans="5:5">
      <c r="E157" s="101"/>
    </row>
    <row r="158" spans="5:5">
      <c r="E158" s="101"/>
    </row>
    <row r="159" spans="5:5">
      <c r="E159" s="101"/>
    </row>
    <row r="160" spans="5:5">
      <c r="E160" s="101"/>
    </row>
    <row r="161" spans="5:5">
      <c r="E161" s="101"/>
    </row>
    <row r="162" spans="5:5">
      <c r="E162" s="101"/>
    </row>
    <row r="163" spans="5:5">
      <c r="E163" s="101"/>
    </row>
    <row r="164" spans="5:5">
      <c r="E164" s="101"/>
    </row>
    <row r="165" spans="5:5">
      <c r="E165" s="101"/>
    </row>
    <row r="166" spans="5:5">
      <c r="E166" s="101"/>
    </row>
    <row r="167" spans="5:5">
      <c r="E167" s="101"/>
    </row>
    <row r="168" spans="5:5">
      <c r="E168" s="101"/>
    </row>
    <row r="169" spans="5:5">
      <c r="E169" s="101"/>
    </row>
    <row r="170" spans="5:5">
      <c r="E170" s="101"/>
    </row>
    <row r="171" spans="5:5">
      <c r="E171" s="101"/>
    </row>
    <row r="172" spans="5:5">
      <c r="E172" s="101"/>
    </row>
    <row r="173" spans="5:5">
      <c r="E173" s="101"/>
    </row>
    <row r="174" spans="5:5">
      <c r="E174" s="101"/>
    </row>
    <row r="175" spans="5:5">
      <c r="E175" s="101"/>
    </row>
    <row r="176" spans="5:5">
      <c r="E176" s="101"/>
    </row>
    <row r="177" spans="5:5">
      <c r="E177" s="101"/>
    </row>
    <row r="178" spans="5:5">
      <c r="E178" s="101"/>
    </row>
    <row r="179" spans="5:5">
      <c r="E179" s="101"/>
    </row>
    <row r="180" spans="5:5">
      <c r="E180" s="101"/>
    </row>
    <row r="181" spans="5:5">
      <c r="E181" s="101"/>
    </row>
    <row r="182" spans="5:5">
      <c r="E182" s="101"/>
    </row>
    <row r="183" spans="5:5">
      <c r="E183" s="101"/>
    </row>
    <row r="184" spans="5:5">
      <c r="E184" s="101"/>
    </row>
    <row r="185" spans="5:5">
      <c r="E185" s="101"/>
    </row>
    <row r="186" spans="5:5">
      <c r="E186" s="101"/>
    </row>
    <row r="187" spans="5:5">
      <c r="E187" s="101"/>
    </row>
    <row r="188" spans="5:5">
      <c r="E188" s="101"/>
    </row>
    <row r="189" spans="5:5">
      <c r="E189" s="101"/>
    </row>
    <row r="190" spans="5:5">
      <c r="E190" s="101"/>
    </row>
    <row r="191" spans="5:5">
      <c r="E191" s="101"/>
    </row>
    <row r="192" spans="5:5">
      <c r="E192" s="101"/>
    </row>
    <row r="193" spans="5:5">
      <c r="E193" s="101"/>
    </row>
    <row r="194" spans="5:5">
      <c r="E194" s="101"/>
    </row>
    <row r="195" spans="5:5">
      <c r="E195" s="101"/>
    </row>
    <row r="196" spans="5:5">
      <c r="E196" s="101"/>
    </row>
    <row r="197" spans="5:5">
      <c r="E197" s="101"/>
    </row>
    <row r="198" spans="5:5">
      <c r="E198" s="101"/>
    </row>
    <row r="199" spans="5:5">
      <c r="E199" s="101"/>
    </row>
    <row r="200" spans="5:5">
      <c r="E200" s="101"/>
    </row>
    <row r="201" spans="5:5">
      <c r="E201" s="101"/>
    </row>
    <row r="202" spans="5:5">
      <c r="E202" s="101"/>
    </row>
    <row r="203" spans="5:5">
      <c r="E203" s="101"/>
    </row>
    <row r="204" spans="5:5">
      <c r="E204" s="101"/>
    </row>
    <row r="205" spans="5:5">
      <c r="E205" s="101"/>
    </row>
    <row r="206" spans="5:5">
      <c r="E206" s="101"/>
    </row>
    <row r="207" spans="5:5">
      <c r="E207" s="101"/>
    </row>
    <row r="208" spans="5:5">
      <c r="E208" s="101"/>
    </row>
    <row r="209" spans="5:5">
      <c r="E209" s="101"/>
    </row>
    <row r="210" spans="5:5">
      <c r="E210" s="101"/>
    </row>
    <row r="211" spans="5:5">
      <c r="E211" s="101"/>
    </row>
    <row r="212" spans="5:5">
      <c r="E212" s="101"/>
    </row>
    <row r="213" spans="5:5">
      <c r="E213" s="101"/>
    </row>
    <row r="214" spans="5:5">
      <c r="E214" s="101"/>
    </row>
    <row r="215" spans="5:5">
      <c r="E215" s="101"/>
    </row>
    <row r="216" spans="5:5">
      <c r="E216" s="101"/>
    </row>
    <row r="217" spans="5:5">
      <c r="E217" s="101"/>
    </row>
    <row r="218" spans="5:5">
      <c r="E218" s="101"/>
    </row>
    <row r="219" spans="5:5">
      <c r="E219" s="101"/>
    </row>
    <row r="220" spans="5:5">
      <c r="E220" s="101"/>
    </row>
    <row r="221" spans="5:5">
      <c r="E221" s="101"/>
    </row>
    <row r="222" spans="5:5">
      <c r="E222" s="101"/>
    </row>
    <row r="223" spans="5:5">
      <c r="E223" s="101"/>
    </row>
    <row r="224" spans="5:5">
      <c r="E224" s="101"/>
    </row>
    <row r="225" spans="5:5">
      <c r="E225" s="101"/>
    </row>
    <row r="226" spans="5:5">
      <c r="E226" s="101"/>
    </row>
    <row r="227" spans="5:5">
      <c r="E227" s="101"/>
    </row>
    <row r="228" spans="5:5">
      <c r="E228" s="101"/>
    </row>
    <row r="229" spans="5:5">
      <c r="E229" s="101"/>
    </row>
    <row r="230" spans="5:5">
      <c r="E230" s="101"/>
    </row>
    <row r="231" spans="5:5">
      <c r="E231" s="101"/>
    </row>
    <row r="232" spans="5:5">
      <c r="E232" s="101"/>
    </row>
    <row r="233" spans="5:5">
      <c r="E233" s="101"/>
    </row>
    <row r="234" spans="5:5">
      <c r="E234" s="101"/>
    </row>
    <row r="235" spans="5:5">
      <c r="E235" s="101"/>
    </row>
    <row r="236" spans="5:5">
      <c r="E236" s="101"/>
    </row>
    <row r="237" spans="5:5">
      <c r="E237" s="101"/>
    </row>
    <row r="238" spans="5:5">
      <c r="E238" s="101"/>
    </row>
    <row r="239" spans="5:5">
      <c r="E239" s="101"/>
    </row>
    <row r="240" spans="5:5">
      <c r="E240" s="101"/>
    </row>
    <row r="241" spans="5:5">
      <c r="E241" s="101"/>
    </row>
    <row r="242" spans="5:5">
      <c r="E242" s="101"/>
    </row>
    <row r="243" spans="5:5">
      <c r="E243" s="101"/>
    </row>
    <row r="244" spans="5:5">
      <c r="E244" s="101"/>
    </row>
    <row r="245" spans="5:5">
      <c r="E245" s="101"/>
    </row>
    <row r="246" spans="5:5">
      <c r="E246" s="101"/>
    </row>
    <row r="247" spans="5:5">
      <c r="E247" s="101"/>
    </row>
    <row r="248" spans="5:5">
      <c r="E248" s="101"/>
    </row>
    <row r="249" spans="5:5">
      <c r="E249" s="101"/>
    </row>
    <row r="250" spans="5:5">
      <c r="E250" s="101"/>
    </row>
    <row r="251" spans="5:5">
      <c r="E251" s="101"/>
    </row>
    <row r="252" spans="5:5">
      <c r="E252" s="101"/>
    </row>
    <row r="253" spans="5:5">
      <c r="E253" s="101"/>
    </row>
    <row r="254" spans="5:5">
      <c r="E254" s="101"/>
    </row>
    <row r="255" spans="5:5">
      <c r="E255" s="101"/>
    </row>
    <row r="256" spans="5:5">
      <c r="E256" s="101"/>
    </row>
    <row r="257" spans="5:5">
      <c r="E257" s="101"/>
    </row>
    <row r="258" spans="5:5">
      <c r="E258" s="101"/>
    </row>
    <row r="259" spans="5:5">
      <c r="E259" s="101"/>
    </row>
    <row r="260" spans="5:5">
      <c r="E260" s="101"/>
    </row>
    <row r="261" spans="5:5">
      <c r="E261" s="101"/>
    </row>
    <row r="262" spans="5:5">
      <c r="E262" s="101"/>
    </row>
    <row r="263" spans="5:5">
      <c r="E263" s="101"/>
    </row>
    <row r="264" spans="5:5">
      <c r="E264" s="101"/>
    </row>
    <row r="265" spans="5:5">
      <c r="E265" s="101"/>
    </row>
    <row r="266" spans="5:5">
      <c r="E266" s="101"/>
    </row>
    <row r="267" spans="5:5">
      <c r="E267" s="101"/>
    </row>
    <row r="268" spans="5:5">
      <c r="E268" s="101"/>
    </row>
    <row r="269" spans="5:5">
      <c r="E269" s="101"/>
    </row>
    <row r="270" spans="5:5">
      <c r="E270" s="101"/>
    </row>
    <row r="271" spans="5:5">
      <c r="E271" s="101"/>
    </row>
    <row r="272" spans="5:5">
      <c r="E272" s="101"/>
    </row>
    <row r="273" spans="5:5">
      <c r="E273" s="101"/>
    </row>
    <row r="274" spans="5:5">
      <c r="E274" s="101"/>
    </row>
    <row r="275" spans="5:5">
      <c r="E275" s="101"/>
    </row>
    <row r="276" spans="5:5">
      <c r="E276" s="101"/>
    </row>
    <row r="277" spans="5:5">
      <c r="E277" s="101"/>
    </row>
    <row r="278" spans="5:5">
      <c r="E278" s="101"/>
    </row>
    <row r="279" spans="5:5">
      <c r="E279" s="101"/>
    </row>
    <row r="280" spans="5:5">
      <c r="E280" s="101"/>
    </row>
    <row r="281" spans="5:5">
      <c r="E281" s="101"/>
    </row>
    <row r="282" spans="5:5">
      <c r="E282" s="101"/>
    </row>
    <row r="283" spans="5:5">
      <c r="E283" s="101"/>
    </row>
    <row r="284" spans="5:5">
      <c r="E284" s="101"/>
    </row>
    <row r="285" spans="5:5">
      <c r="E285" s="101"/>
    </row>
    <row r="286" spans="5:5">
      <c r="E286" s="101"/>
    </row>
    <row r="287" spans="5:5">
      <c r="E287" s="101"/>
    </row>
    <row r="288" spans="5:5">
      <c r="E288" s="101"/>
    </row>
    <row r="289" spans="5:5">
      <c r="E289" s="101"/>
    </row>
    <row r="290" spans="5:5">
      <c r="E290" s="101"/>
    </row>
    <row r="291" spans="5:5">
      <c r="E291" s="101"/>
    </row>
    <row r="292" spans="5:5">
      <c r="E292" s="101"/>
    </row>
    <row r="293" spans="5:5">
      <c r="E293" s="101"/>
    </row>
    <row r="294" spans="5:5">
      <c r="E294" s="101"/>
    </row>
    <row r="295" spans="5:5">
      <c r="E295" s="101"/>
    </row>
    <row r="296" spans="5:5">
      <c r="E296" s="101"/>
    </row>
    <row r="297" spans="5:5">
      <c r="E297" s="101"/>
    </row>
    <row r="298" spans="5:5">
      <c r="E298" s="101"/>
    </row>
    <row r="299" spans="5:5">
      <c r="E299" s="101"/>
    </row>
    <row r="300" spans="5:5">
      <c r="E300" s="101"/>
    </row>
    <row r="301" spans="5:5">
      <c r="E301" s="101"/>
    </row>
    <row r="302" spans="5:5">
      <c r="E302" s="101"/>
    </row>
    <row r="303" spans="5:5">
      <c r="E303" s="101"/>
    </row>
    <row r="304" spans="5:5">
      <c r="E304" s="101"/>
    </row>
    <row r="305" spans="5:5">
      <c r="E305" s="101"/>
    </row>
    <row r="306" spans="5:5">
      <c r="E306" s="101"/>
    </row>
    <row r="307" spans="5:5">
      <c r="E307" s="101"/>
    </row>
    <row r="308" spans="5:5">
      <c r="E308" s="101"/>
    </row>
    <row r="309" spans="5:5">
      <c r="E309" s="101"/>
    </row>
    <row r="310" spans="5:5">
      <c r="E310" s="101"/>
    </row>
    <row r="311" spans="5:5">
      <c r="E311" s="101"/>
    </row>
    <row r="312" spans="5:5">
      <c r="E312" s="101"/>
    </row>
    <row r="313" spans="5:5">
      <c r="E313" s="101"/>
    </row>
    <row r="314" spans="5:5">
      <c r="E314" s="101"/>
    </row>
    <row r="315" spans="5:5">
      <c r="E315" s="101"/>
    </row>
    <row r="316" spans="5:5">
      <c r="E316" s="101"/>
    </row>
    <row r="317" spans="5:5">
      <c r="E317" s="101"/>
    </row>
    <row r="318" spans="5:5">
      <c r="E318" s="101"/>
    </row>
    <row r="319" spans="5:5">
      <c r="E319" s="101"/>
    </row>
    <row r="320" spans="5:5">
      <c r="E320" s="101"/>
    </row>
    <row r="321" spans="5:5">
      <c r="E321" s="101"/>
    </row>
    <row r="322" spans="5:5">
      <c r="E322" s="101"/>
    </row>
    <row r="323" spans="5:5">
      <c r="E323" s="101"/>
    </row>
    <row r="324" spans="5:5">
      <c r="E324" s="101"/>
    </row>
    <row r="325" spans="5:5">
      <c r="E325" s="101"/>
    </row>
    <row r="326" spans="5:5">
      <c r="E326" s="101"/>
    </row>
    <row r="327" spans="5:5">
      <c r="E327" s="101"/>
    </row>
    <row r="328" spans="5:5">
      <c r="E328" s="101"/>
    </row>
    <row r="329" spans="5:5">
      <c r="E329" s="101"/>
    </row>
    <row r="330" spans="5:5">
      <c r="E330" s="101"/>
    </row>
    <row r="331" spans="5:5">
      <c r="E331" s="101"/>
    </row>
    <row r="332" spans="5:5">
      <c r="E332" s="101"/>
    </row>
    <row r="333" spans="5:5">
      <c r="E333" s="101"/>
    </row>
    <row r="334" spans="5:5">
      <c r="E334" s="101"/>
    </row>
    <row r="335" spans="5:5">
      <c r="E335" s="101"/>
    </row>
    <row r="336" spans="5:5">
      <c r="E336" s="101"/>
    </row>
    <row r="337" spans="5:5">
      <c r="E337" s="101"/>
    </row>
    <row r="338" spans="5:5">
      <c r="E338" s="101"/>
    </row>
    <row r="339" spans="5:5">
      <c r="E339" s="101"/>
    </row>
    <row r="340" spans="5:5">
      <c r="E340" s="101"/>
    </row>
    <row r="341" spans="5:5">
      <c r="E341" s="101"/>
    </row>
    <row r="342" spans="5:5">
      <c r="E342" s="101"/>
    </row>
    <row r="343" spans="5:5">
      <c r="E343" s="101"/>
    </row>
    <row r="344" spans="5:5">
      <c r="E344" s="101"/>
    </row>
    <row r="345" spans="5:5">
      <c r="E345" s="101"/>
    </row>
    <row r="346" spans="5:5">
      <c r="E346" s="101"/>
    </row>
    <row r="347" spans="5:5">
      <c r="E347" s="101"/>
    </row>
    <row r="348" spans="5:5">
      <c r="E348" s="101"/>
    </row>
    <row r="349" spans="5:5">
      <c r="E349" s="101"/>
    </row>
    <row r="350" spans="5:5">
      <c r="E350" s="101"/>
    </row>
    <row r="351" spans="5:5">
      <c r="E351" s="101"/>
    </row>
    <row r="352" spans="5:5">
      <c r="E352" s="101"/>
    </row>
    <row r="353" spans="5:5">
      <c r="E353" s="101"/>
    </row>
    <row r="354" spans="5:5">
      <c r="E354" s="101"/>
    </row>
    <row r="355" spans="5:5">
      <c r="E355" s="101"/>
    </row>
    <row r="356" spans="5:5">
      <c r="E356" s="101"/>
    </row>
    <row r="357" spans="5:5">
      <c r="E357" s="101"/>
    </row>
    <row r="358" spans="5:5">
      <c r="E358" s="101"/>
    </row>
    <row r="359" spans="5:5">
      <c r="E359" s="101"/>
    </row>
    <row r="360" spans="5:5">
      <c r="E360" s="101"/>
    </row>
    <row r="361" spans="5:5">
      <c r="E361" s="101"/>
    </row>
    <row r="362" spans="5:5">
      <c r="E362" s="101"/>
    </row>
    <row r="363" spans="5:5">
      <c r="E363" s="101"/>
    </row>
    <row r="364" spans="5:5">
      <c r="E364" s="101"/>
    </row>
    <row r="365" spans="5:5">
      <c r="E365" s="101"/>
    </row>
    <row r="366" spans="5:5">
      <c r="E366" s="101"/>
    </row>
    <row r="367" spans="5:5">
      <c r="E367" s="101"/>
    </row>
    <row r="368" spans="5:5">
      <c r="E368" s="101"/>
    </row>
    <row r="369" spans="5:5">
      <c r="E369" s="101"/>
    </row>
    <row r="370" spans="5:5">
      <c r="E370" s="101"/>
    </row>
    <row r="371" spans="5:5">
      <c r="E371" s="101"/>
    </row>
    <row r="372" spans="5:5">
      <c r="E372" s="101"/>
    </row>
    <row r="373" spans="5:5">
      <c r="E373" s="101"/>
    </row>
    <row r="374" spans="5:5">
      <c r="E374" s="101"/>
    </row>
    <row r="375" spans="5:5">
      <c r="E375" s="101"/>
    </row>
    <row r="376" spans="5:5">
      <c r="E376" s="101"/>
    </row>
    <row r="377" spans="5:5">
      <c r="E377" s="101"/>
    </row>
    <row r="378" spans="5:5">
      <c r="E378" s="101"/>
    </row>
    <row r="379" spans="5:5">
      <c r="E379" s="101"/>
    </row>
    <row r="380" spans="5:5">
      <c r="E380" s="101"/>
    </row>
    <row r="381" spans="5:5">
      <c r="E381" s="101"/>
    </row>
    <row r="382" spans="5:5">
      <c r="E382" s="101"/>
    </row>
    <row r="383" spans="5:5">
      <c r="E383" s="101"/>
    </row>
    <row r="384" spans="5:5">
      <c r="E384" s="101"/>
    </row>
    <row r="385" spans="5:5">
      <c r="E385" s="101"/>
    </row>
    <row r="386" spans="5:5">
      <c r="E386" s="101"/>
    </row>
    <row r="387" spans="5:5">
      <c r="E387" s="101"/>
    </row>
    <row r="388" spans="5:5">
      <c r="E388" s="101"/>
    </row>
    <row r="389" spans="5:5">
      <c r="E389" s="101"/>
    </row>
    <row r="390" spans="5:5">
      <c r="E390" s="101"/>
    </row>
    <row r="391" spans="5:5">
      <c r="E391" s="101"/>
    </row>
    <row r="392" spans="5:5">
      <c r="E392" s="101"/>
    </row>
    <row r="393" spans="5:5">
      <c r="E393" s="101"/>
    </row>
    <row r="394" spans="5:5">
      <c r="E394" s="101"/>
    </row>
    <row r="395" spans="5:5">
      <c r="E395" s="101"/>
    </row>
    <row r="396" spans="5:5">
      <c r="E396" s="101"/>
    </row>
    <row r="397" spans="5:5">
      <c r="E397" s="101"/>
    </row>
    <row r="398" spans="5:5">
      <c r="E398" s="101"/>
    </row>
    <row r="399" spans="5:5">
      <c r="E399" s="101"/>
    </row>
    <row r="400" spans="5:5">
      <c r="E400" s="101"/>
    </row>
    <row r="401" spans="5:5">
      <c r="E401" s="101"/>
    </row>
    <row r="402" spans="5:5">
      <c r="E402" s="101"/>
    </row>
    <row r="403" spans="5:5">
      <c r="E403" s="101"/>
    </row>
    <row r="404" spans="5:5">
      <c r="E404" s="101"/>
    </row>
    <row r="405" spans="5:5">
      <c r="E405" s="101"/>
    </row>
    <row r="406" spans="5:5">
      <c r="E406" s="101"/>
    </row>
    <row r="407" spans="5:5">
      <c r="E407" s="101"/>
    </row>
    <row r="408" spans="5:5">
      <c r="E408" s="101"/>
    </row>
    <row r="409" spans="5:5">
      <c r="E409" s="101"/>
    </row>
    <row r="410" spans="5:5">
      <c r="E410" s="101"/>
    </row>
    <row r="411" spans="5:5">
      <c r="E411" s="101"/>
    </row>
    <row r="412" spans="5:5">
      <c r="E412" s="101"/>
    </row>
    <row r="413" spans="5:5">
      <c r="E413" s="101"/>
    </row>
    <row r="414" spans="5:5">
      <c r="E414" s="101"/>
    </row>
    <row r="415" spans="5:5">
      <c r="E415" s="101"/>
    </row>
    <row r="416" spans="5:5">
      <c r="E416" s="101"/>
    </row>
    <row r="417" spans="5:5">
      <c r="E417" s="101"/>
    </row>
    <row r="418" spans="5:5">
      <c r="E418" s="101"/>
    </row>
    <row r="419" spans="5:5">
      <c r="E419" s="101"/>
    </row>
    <row r="420" spans="5:5">
      <c r="E420" s="101"/>
    </row>
    <row r="421" spans="5:5">
      <c r="E421" s="101"/>
    </row>
    <row r="422" spans="5:5">
      <c r="E422" s="101"/>
    </row>
    <row r="423" spans="5:5">
      <c r="E423" s="101"/>
    </row>
    <row r="424" spans="5:5">
      <c r="E424" s="101"/>
    </row>
    <row r="425" spans="5:5">
      <c r="E425" s="101"/>
    </row>
    <row r="426" spans="5:5">
      <c r="E426" s="101"/>
    </row>
    <row r="427" spans="5:5">
      <c r="E427" s="101"/>
    </row>
    <row r="428" spans="5:5">
      <c r="E428" s="101"/>
    </row>
    <row r="429" spans="5:5">
      <c r="E429" s="101"/>
    </row>
    <row r="430" spans="5:5">
      <c r="E430" s="101"/>
    </row>
    <row r="431" spans="5:5">
      <c r="E431" s="101"/>
    </row>
    <row r="432" spans="5:5">
      <c r="E432" s="101"/>
    </row>
    <row r="433" spans="5:5">
      <c r="E433" s="101"/>
    </row>
    <row r="434" spans="5:5">
      <c r="E434" s="101"/>
    </row>
    <row r="435" spans="5:5">
      <c r="E435" s="101"/>
    </row>
    <row r="436" spans="5:5">
      <c r="E436" s="101"/>
    </row>
    <row r="437" spans="5:5">
      <c r="E437" s="101"/>
    </row>
    <row r="438" spans="5:5">
      <c r="E438" s="101"/>
    </row>
    <row r="439" spans="5:5">
      <c r="E439" s="101"/>
    </row>
    <row r="440" spans="5:5">
      <c r="E440" s="101"/>
    </row>
    <row r="441" spans="5:5">
      <c r="E441" s="101"/>
    </row>
    <row r="442" spans="5:5">
      <c r="E442" s="101"/>
    </row>
    <row r="443" spans="5:5">
      <c r="E443" s="101"/>
    </row>
    <row r="444" spans="5:5">
      <c r="E444" s="101"/>
    </row>
    <row r="445" spans="5:5">
      <c r="E445" s="101"/>
    </row>
    <row r="446" spans="5:5">
      <c r="E446" s="101"/>
    </row>
    <row r="447" spans="5:5">
      <c r="E447" s="101"/>
    </row>
    <row r="448" spans="5:5">
      <c r="E448" s="101"/>
    </row>
    <row r="449" spans="5:5">
      <c r="E449" s="101"/>
    </row>
    <row r="450" spans="5:5">
      <c r="E450" s="101"/>
    </row>
    <row r="451" spans="5:5">
      <c r="E451" s="101"/>
    </row>
    <row r="452" spans="5:5">
      <c r="E452" s="101"/>
    </row>
    <row r="453" spans="5:5">
      <c r="E453" s="101"/>
    </row>
    <row r="454" spans="5:5">
      <c r="E454" s="101"/>
    </row>
    <row r="455" spans="5:5">
      <c r="E455" s="101"/>
    </row>
    <row r="456" spans="5:5">
      <c r="E456" s="101"/>
    </row>
    <row r="457" spans="5:5">
      <c r="E457" s="101"/>
    </row>
    <row r="458" spans="5:5">
      <c r="E458" s="101"/>
    </row>
    <row r="459" spans="5:5">
      <c r="E459" s="101"/>
    </row>
    <row r="460" spans="5:5">
      <c r="E460" s="101"/>
    </row>
    <row r="461" spans="5:5">
      <c r="E461" s="101"/>
    </row>
    <row r="462" spans="5:5">
      <c r="E462" s="101"/>
    </row>
    <row r="463" spans="5:5">
      <c r="E463" s="101"/>
    </row>
    <row r="464" spans="5:5">
      <c r="E464" s="101"/>
    </row>
    <row r="465" spans="5:5">
      <c r="E465" s="101"/>
    </row>
    <row r="466" spans="5:5">
      <c r="E466" s="101"/>
    </row>
    <row r="467" spans="5:5">
      <c r="E467" s="101"/>
    </row>
    <row r="468" spans="5:5">
      <c r="E468" s="101"/>
    </row>
    <row r="469" spans="5:5">
      <c r="E469" s="101"/>
    </row>
    <row r="470" spans="5:5">
      <c r="E470" s="101"/>
    </row>
    <row r="471" spans="5:5">
      <c r="E471" s="101"/>
    </row>
    <row r="472" spans="5:5">
      <c r="E472" s="101"/>
    </row>
    <row r="473" spans="5:5">
      <c r="E473" s="101"/>
    </row>
    <row r="474" spans="5:5">
      <c r="E474" s="101"/>
    </row>
    <row r="475" spans="5:5">
      <c r="E475" s="101"/>
    </row>
    <row r="476" spans="5:5">
      <c r="E476" s="101"/>
    </row>
    <row r="477" spans="5:5">
      <c r="E477" s="101"/>
    </row>
    <row r="478" spans="5:5">
      <c r="E478" s="101"/>
    </row>
    <row r="479" spans="5:5">
      <c r="E479" s="101"/>
    </row>
    <row r="480" spans="5:5">
      <c r="E480" s="101"/>
    </row>
    <row r="481" spans="5:5">
      <c r="E481" s="101"/>
    </row>
    <row r="482" spans="5:5">
      <c r="E482" s="101"/>
    </row>
    <row r="483" spans="5:5">
      <c r="E483" s="101"/>
    </row>
    <row r="484" spans="5:5">
      <c r="E484" s="101"/>
    </row>
    <row r="485" spans="5:5">
      <c r="E485" s="101"/>
    </row>
    <row r="486" spans="5:5">
      <c r="E486" s="101"/>
    </row>
    <row r="487" spans="5:5">
      <c r="E487" s="101"/>
    </row>
    <row r="488" spans="5:5">
      <c r="E488" s="101"/>
    </row>
    <row r="489" spans="5:5">
      <c r="E489" s="101"/>
    </row>
    <row r="490" spans="5:5">
      <c r="E490" s="101"/>
    </row>
    <row r="491" spans="5:5">
      <c r="E491" s="101"/>
    </row>
    <row r="492" spans="5:5">
      <c r="E492" s="101"/>
    </row>
    <row r="493" spans="5:5">
      <c r="E493" s="101"/>
    </row>
    <row r="497" s="2" customFormat="1"/>
    <row r="498" s="2" customFormat="1"/>
    <row r="499" s="2" customFormat="1"/>
    <row r="500" s="2" customFormat="1"/>
  </sheetData>
  <sheetProtection formatCells="0"/>
  <mergeCells count="2">
    <mergeCell ref="I3:J3"/>
    <mergeCell ref="K3:L3"/>
  </mergeCells>
  <printOptions horizontalCentered="1"/>
  <pageMargins left="0.25" right="0.25" top="0.25" bottom="0.5" header="0.25" footer="0.25"/>
  <pageSetup scale="80" orientation="landscape" r:id="rId1"/>
  <headerFooter alignWithMargins="0">
    <oddFooter>&amp;LFarley-Jamieson Inc.
Printed on: &amp;D @ &amp;T&amp;CPage &amp;P of &amp;N&amp;RSheet Name: &amp;A
File Name: &amp;F</oddFooter>
  </headerFooter>
  <rowBreaks count="3" manualBreakCount="3">
    <brk id="30" max="16383" man="1"/>
    <brk id="56" max="16383" man="1"/>
    <brk id="81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Drop Down 1">
              <controlPr defaultSize="0" autoLine="0" autoPict="0">
                <anchor moveWithCells="1">
                  <from>
                    <xdr:col>14</xdr:col>
                    <xdr:colOff>25400</xdr:colOff>
                    <xdr:row>1</xdr:row>
                    <xdr:rowOff>158750</xdr:rowOff>
                  </from>
                  <to>
                    <xdr:col>15</xdr:col>
                    <xdr:colOff>323850</xdr:colOff>
                    <xdr:row>2</xdr:row>
                    <xdr:rowOff>133350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F63DA222-8050-43BC-9080-54A32E2F7B87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Summary!I62:P62</xm:f>
              <xm:sqref>F62</xm:sqref>
            </x14:sparkline>
            <x14:sparkline>
              <xm:f>Summary!I63:P63</xm:f>
              <xm:sqref>F63</xm:sqref>
            </x14:sparkline>
            <x14:sparkline>
              <xm:f>Summary!I64:P64</xm:f>
              <xm:sqref>F64</xm:sqref>
            </x14:sparkline>
            <x14:sparkline>
              <xm:f>Summary!I65:P65</xm:f>
              <xm:sqref>F65</xm:sqref>
            </x14:sparkline>
            <x14:sparkline>
              <xm:f>Summary!I66:P66</xm:f>
              <xm:sqref>F66</xm:sqref>
            </x14:sparkline>
            <x14:sparkline>
              <xm:f>Summary!I67:P67</xm:f>
              <xm:sqref>F67</xm:sqref>
            </x14:sparkline>
            <x14:sparkline>
              <xm:f>Summary!I68:P68</xm:f>
              <xm:sqref>F68</xm:sqref>
            </x14:sparkline>
            <x14:sparkline>
              <xm:f>Summary!I69:P69</xm:f>
              <xm:sqref>F69</xm:sqref>
            </x14:sparkline>
            <x14:sparkline>
              <xm:f>Summary!I70:P70</xm:f>
              <xm:sqref>F70</xm:sqref>
            </x14:sparkline>
            <x14:sparkline>
              <xm:f>Summary!I71:P71</xm:f>
              <xm:sqref>F71</xm:sqref>
            </x14:sparkline>
            <x14:sparkline>
              <xm:f>Summary!I72:P72</xm:f>
              <xm:sqref>F72</xm:sqref>
            </x14:sparkline>
            <x14:sparkline>
              <xm:f>Summary!I73:P73</xm:f>
              <xm:sqref>F73</xm:sqref>
            </x14:sparkline>
            <x14:sparkline>
              <xm:f>Summary!I74:P74</xm:f>
              <xm:sqref>F74</xm:sqref>
            </x14:sparkline>
            <x14:sparkline>
              <xm:f>Summary!I75:P75</xm:f>
              <xm:sqref>F75</xm:sqref>
            </x14:sparkline>
            <x14:sparkline>
              <xm:f>Summary!I76:P76</xm:f>
              <xm:sqref>F76</xm:sqref>
            </x14:sparkline>
            <x14:sparkline>
              <xm:f>Summary!I77:P77</xm:f>
              <xm:sqref>F77</xm:sqref>
            </x14:sparkline>
            <x14:sparkline>
              <xm:f>Summary!I78:P78</xm:f>
              <xm:sqref>F78</xm:sqref>
            </x14:sparkline>
            <x14:sparkline>
              <xm:f>Summary!I79:P79</xm:f>
              <xm:sqref>F79</xm:sqref>
            </x14:sparkline>
          </x14:sparklines>
        </x14:sparklineGroup>
        <x14:sparklineGroup displayEmptyCellsAs="gap" markers="1" xr2:uid="{CAF6E56B-D157-40EF-9D97-7DCA44D0BA64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Summary!I37:P37</xm:f>
              <xm:sqref>F37</xm:sqref>
            </x14:sparkline>
            <x14:sparkline>
              <xm:f>Summary!I38:P38</xm:f>
              <xm:sqref>F38</xm:sqref>
            </x14:sparkline>
            <x14:sparkline>
              <xm:f>Summary!I39:P39</xm:f>
              <xm:sqref>F39</xm:sqref>
            </x14:sparkline>
            <x14:sparkline>
              <xm:f>Summary!I40:P40</xm:f>
              <xm:sqref>F40</xm:sqref>
            </x14:sparkline>
            <x14:sparkline>
              <xm:f>Summary!I41:P41</xm:f>
              <xm:sqref>F41</xm:sqref>
            </x14:sparkline>
            <x14:sparkline>
              <xm:f>Summary!I42:P42</xm:f>
              <xm:sqref>F42</xm:sqref>
            </x14:sparkline>
            <x14:sparkline>
              <xm:f>Summary!I43:P43</xm:f>
              <xm:sqref>F43</xm:sqref>
            </x14:sparkline>
            <x14:sparkline>
              <xm:f>Summary!I44:P44</xm:f>
              <xm:sqref>F44</xm:sqref>
            </x14:sparkline>
            <x14:sparkline>
              <xm:f>Summary!I45:P45</xm:f>
              <xm:sqref>F45</xm:sqref>
            </x14:sparkline>
            <x14:sparkline>
              <xm:f>Summary!I46:P46</xm:f>
              <xm:sqref>F46</xm:sqref>
            </x14:sparkline>
            <x14:sparkline>
              <xm:f>Summary!I47:P47</xm:f>
              <xm:sqref>F47</xm:sqref>
            </x14:sparkline>
            <x14:sparkline>
              <xm:f>Summary!I48:P48</xm:f>
              <xm:sqref>F48</xm:sqref>
            </x14:sparkline>
            <x14:sparkline>
              <xm:f>Summary!I49:P49</xm:f>
              <xm:sqref>F49</xm:sqref>
            </x14:sparkline>
            <x14:sparkline>
              <xm:f>Summary!I50:P50</xm:f>
              <xm:sqref>F50</xm:sqref>
            </x14:sparkline>
            <x14:sparkline>
              <xm:f>Summary!I51:P51</xm:f>
              <xm:sqref>F51</xm:sqref>
            </x14:sparkline>
            <x14:sparkline>
              <xm:f>Summary!I52:P52</xm:f>
              <xm:sqref>F52</xm:sqref>
            </x14:sparkline>
            <x14:sparkline>
              <xm:f>Summary!I53:P53</xm:f>
              <xm:sqref>F53</xm:sqref>
            </x14:sparkline>
            <x14:sparkline>
              <xm:f>Summary!I54:P54</xm:f>
              <xm:sqref>F54</xm:sqref>
            </x14:sparkline>
          </x14:sparklines>
        </x14:sparklineGroup>
        <x14:sparklineGroup displayEmptyCellsAs="gap" markers="1" xr2:uid="{A8CCBCF5-00B5-4F87-99D2-5D6745EC7B58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Summary!I12:P12</xm:f>
              <xm:sqref>F12</xm:sqref>
            </x14:sparkline>
            <x14:sparkline>
              <xm:f>Summary!I13:P13</xm:f>
              <xm:sqref>F13</xm:sqref>
            </x14:sparkline>
            <x14:sparkline>
              <xm:f>Summary!I14:P14</xm:f>
              <xm:sqref>F14</xm:sqref>
            </x14:sparkline>
            <x14:sparkline>
              <xm:f>Summary!I15:P15</xm:f>
              <xm:sqref>F15</xm:sqref>
            </x14:sparkline>
            <x14:sparkline>
              <xm:f>Summary!I16:P16</xm:f>
              <xm:sqref>F16</xm:sqref>
            </x14:sparkline>
            <x14:sparkline>
              <xm:f>Summary!I17:P17</xm:f>
              <xm:sqref>F17</xm:sqref>
            </x14:sparkline>
            <x14:sparkline>
              <xm:f>Summary!I18:P18</xm:f>
              <xm:sqref>F18</xm:sqref>
            </x14:sparkline>
            <x14:sparkline>
              <xm:f>Summary!I19:P19</xm:f>
              <xm:sqref>F19</xm:sqref>
            </x14:sparkline>
            <x14:sparkline>
              <xm:f>Summary!I20:P20</xm:f>
              <xm:sqref>F20</xm:sqref>
            </x14:sparkline>
            <x14:sparkline>
              <xm:f>Summary!I21:P21</xm:f>
              <xm:sqref>F21</xm:sqref>
            </x14:sparkline>
            <x14:sparkline>
              <xm:f>Summary!I22:P22</xm:f>
              <xm:sqref>F22</xm:sqref>
            </x14:sparkline>
            <x14:sparkline>
              <xm:f>Summary!I23:P23</xm:f>
              <xm:sqref>F23</xm:sqref>
            </x14:sparkline>
            <x14:sparkline>
              <xm:f>Summary!I24:P24</xm:f>
              <xm:sqref>F24</xm:sqref>
            </x14:sparkline>
            <x14:sparkline>
              <xm:f>Summary!I25:P25</xm:f>
              <xm:sqref>F25</xm:sqref>
            </x14:sparkline>
            <x14:sparkline>
              <xm:f>Summary!I26:P26</xm:f>
              <xm:sqref>F26</xm:sqref>
            </x14:sparkline>
            <x14:sparkline>
              <xm:f>Summary!I27:P27</xm:f>
              <xm:sqref>F27</xm:sqref>
            </x14:sparkline>
            <x14:sparkline>
              <xm:f>Summary!I28:P28</xm:f>
              <xm:sqref>F28</xm:sqref>
            </x14:sparkline>
            <x14:sparkline>
              <xm:f>Summary!I29:P29</xm:f>
              <xm:sqref>F29</xm:sqref>
            </x14:sparkline>
          </x14:sparklines>
        </x14:sparklineGroup>
        <x14:sparklineGroup displayEmptyCellsAs="gap" markers="1" xr2:uid="{B9D32FF3-A2B6-4468-A441-28E7B949CFE1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Summary!I90:P90</xm:f>
              <xm:sqref>F90</xm:sqref>
            </x14:sparkline>
            <x14:sparkline>
              <xm:f>Summary!I91:P91</xm:f>
              <xm:sqref>F91</xm:sqref>
            </x14:sparkline>
            <x14:sparkline>
              <xm:f>Summary!I92:P92</xm:f>
              <xm:sqref>F92</xm:sqref>
            </x14:sparkline>
            <x14:sparkline>
              <xm:f>Summary!I93:P93</xm:f>
              <xm:sqref>F93</xm:sqref>
            </x14:sparkline>
            <x14:sparkline>
              <xm:f>Summary!I94:P94</xm:f>
              <xm:sqref>F94</xm:sqref>
            </x14:sparkline>
            <x14:sparkline>
              <xm:f>Summary!I95:P95</xm:f>
              <xm:sqref>F95</xm:sqref>
            </x14:sparkline>
            <x14:sparkline>
              <xm:f>Summary!I96:P96</xm:f>
              <xm:sqref>F96</xm:sqref>
            </x14:sparkline>
            <x14:sparkline>
              <xm:f>Summary!I97:P97</xm:f>
              <xm:sqref>F97</xm:sqref>
            </x14:sparkline>
            <x14:sparkline>
              <xm:f>Summary!I98:P98</xm:f>
              <xm:sqref>F98</xm:sqref>
            </x14:sparkline>
            <x14:sparkline>
              <xm:f>Summary!I99:P99</xm:f>
              <xm:sqref>F99</xm:sqref>
            </x14:sparkline>
            <x14:sparkline>
              <xm:f>Summary!I100:P100</xm:f>
              <xm:sqref>F100</xm:sqref>
            </x14:sparkline>
            <x14:sparkline>
              <xm:f>Summary!I101:P101</xm:f>
              <xm:sqref>F101</xm:sqref>
            </x14:sparkline>
            <x14:sparkline>
              <xm:f>Summary!I102:P102</xm:f>
              <xm:sqref>F102</xm:sqref>
            </x14:sparkline>
            <x14:sparkline>
              <xm:f>Summary!I103:P103</xm:f>
              <xm:sqref>F103</xm:sqref>
            </x14:sparkline>
            <x14:sparkline>
              <xm:f>Summary!I104:P104</xm:f>
              <xm:sqref>F104</xm:sqref>
            </x14:sparkline>
            <x14:sparkline>
              <xm:f>Summary!I105:P105</xm:f>
              <xm:sqref>F105</xm:sqref>
            </x14:sparkline>
            <x14:sparkline>
              <xm:f>Summary!I106:P106</xm:f>
              <xm:sqref>F106</xm:sqref>
            </x14:sparkline>
            <x14:sparkline>
              <xm:f>Summary!I107:P107</xm:f>
              <xm:sqref>F107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71AEA-85BE-4B44-8C55-4FD17D2B36C3}">
  <dimension ref="A1:P493"/>
  <sheetViews>
    <sheetView showGridLines="0" zoomScale="70" zoomScaleNormal="70" zoomScaleSheetLayoutView="90" workbookViewId="0">
      <pane ySplit="5" topLeftCell="A98" activePane="bottomLeft" state="frozen"/>
      <selection activeCell="K479" sqref="K479"/>
      <selection pane="bottomLeft" activeCell="L133" sqref="L133"/>
    </sheetView>
  </sheetViews>
  <sheetFormatPr defaultColWidth="0" defaultRowHeight="13"/>
  <cols>
    <col min="1" max="1" width="2.54296875" style="2" customWidth="1"/>
    <col min="2" max="3" width="1.81640625" style="2" customWidth="1"/>
    <col min="4" max="4" width="50.08984375" style="2" customWidth="1"/>
    <col min="5" max="5" width="8.6328125" style="2" customWidth="1"/>
    <col min="6" max="6" width="12.7265625" style="2" customWidth="1"/>
    <col min="7" max="8" width="1.81640625" style="2" customWidth="1"/>
    <col min="9" max="11" width="12.7265625" style="2" customWidth="1"/>
    <col min="12" max="16" width="9.26953125" style="2" customWidth="1"/>
    <col min="17" max="16384" width="9.26953125" style="2" hidden="1"/>
  </cols>
  <sheetData>
    <row r="1" spans="1:16" s="75" customFormat="1"/>
    <row r="2" spans="1:16" s="75" customFormat="1" ht="18.5">
      <c r="B2" s="76" t="s">
        <v>67</v>
      </c>
      <c r="I2" s="77" t="str">
        <f>"Financial Model: "&amp;L5&amp;" to "&amp;P5</f>
        <v>Financial Model: 2024 to 2028</v>
      </c>
    </row>
    <row r="3" spans="1:16" s="75" customFormat="1">
      <c r="B3" s="77" t="s">
        <v>81</v>
      </c>
      <c r="I3" s="167" t="str">
        <f>IF(BS_Check=0,"BS Check: OK","BS Check: Error")</f>
        <v>BS Check: OK</v>
      </c>
      <c r="J3" s="168"/>
      <c r="K3" s="169" t="str">
        <f>Scenario_Used</f>
        <v>Scenario: Base Case</v>
      </c>
      <c r="L3" s="169"/>
    </row>
    <row r="4" spans="1:16">
      <c r="I4" s="78" t="s">
        <v>73</v>
      </c>
      <c r="J4" s="78" t="s">
        <v>73</v>
      </c>
      <c r="K4" s="78" t="s">
        <v>73</v>
      </c>
      <c r="L4" s="78" t="s">
        <v>74</v>
      </c>
      <c r="M4" s="78" t="s">
        <v>74</v>
      </c>
      <c r="N4" s="78" t="s">
        <v>74</v>
      </c>
      <c r="O4" s="78" t="s">
        <v>74</v>
      </c>
      <c r="P4" s="78" t="s">
        <v>74</v>
      </c>
    </row>
    <row r="5" spans="1:16">
      <c r="E5" s="2" t="s">
        <v>71</v>
      </c>
      <c r="F5" s="2" t="s">
        <v>72</v>
      </c>
      <c r="I5" s="79">
        <v>2021</v>
      </c>
      <c r="J5" s="79">
        <f>I5+1</f>
        <v>2022</v>
      </c>
      <c r="K5" s="79">
        <f t="shared" ref="K5:P5" si="0">J5+1</f>
        <v>2023</v>
      </c>
      <c r="L5" s="80">
        <f t="shared" si="0"/>
        <v>2024</v>
      </c>
      <c r="M5" s="80">
        <f t="shared" si="0"/>
        <v>2025</v>
      </c>
      <c r="N5" s="80">
        <f t="shared" si="0"/>
        <v>2026</v>
      </c>
      <c r="O5" s="80">
        <f t="shared" si="0"/>
        <v>2027</v>
      </c>
      <c r="P5" s="80">
        <f t="shared" si="0"/>
        <v>2028</v>
      </c>
    </row>
    <row r="6" spans="1:16">
      <c r="E6" s="101"/>
    </row>
    <row r="7" spans="1:16">
      <c r="E7" s="101"/>
    </row>
    <row r="8" spans="1:16" ht="13.5" thickBot="1">
      <c r="A8" s="95" t="s">
        <v>80</v>
      </c>
      <c r="B8" s="95"/>
      <c r="C8" s="95"/>
      <c r="D8" s="95"/>
      <c r="E8" s="148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</row>
    <row r="9" spans="1:16" ht="13.5" thickTop="1">
      <c r="E9" s="101"/>
    </row>
    <row r="10" spans="1:16">
      <c r="D10" s="2" t="s">
        <v>82</v>
      </c>
      <c r="E10" s="101" t="s">
        <v>83</v>
      </c>
      <c r="I10" s="96">
        <f>DATE(I5,12,31)-DATE(I5,1,1)+1</f>
        <v>365</v>
      </c>
      <c r="J10" s="96">
        <f t="shared" ref="J10:P10" si="1">DATE(J5,12,31)-DATE(J5,1,1)+1</f>
        <v>365</v>
      </c>
      <c r="K10" s="96">
        <f t="shared" si="1"/>
        <v>365</v>
      </c>
      <c r="L10" s="96">
        <f t="shared" si="1"/>
        <v>366</v>
      </c>
      <c r="M10" s="96">
        <f t="shared" si="1"/>
        <v>365</v>
      </c>
      <c r="N10" s="96">
        <f t="shared" si="1"/>
        <v>365</v>
      </c>
      <c r="O10" s="96">
        <f t="shared" si="1"/>
        <v>365</v>
      </c>
      <c r="P10" s="96">
        <f t="shared" si="1"/>
        <v>366</v>
      </c>
    </row>
    <row r="11" spans="1:16">
      <c r="D11" s="2" t="s">
        <v>84</v>
      </c>
      <c r="E11" s="101" t="s">
        <v>85</v>
      </c>
      <c r="F11" s="2">
        <v>1000000</v>
      </c>
    </row>
    <row r="12" spans="1:16">
      <c r="E12" s="101"/>
    </row>
    <row r="13" spans="1:16">
      <c r="E13" s="101"/>
    </row>
    <row r="14" spans="1:16" ht="20" thickBot="1">
      <c r="B14" s="97" t="s">
        <v>86</v>
      </c>
      <c r="C14" s="97"/>
      <c r="D14" s="97"/>
      <c r="E14" s="14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</row>
    <row r="15" spans="1:16" ht="13.5" thickTop="1">
      <c r="E15" s="101"/>
    </row>
    <row r="16" spans="1:16">
      <c r="D16" s="2" t="s">
        <v>87</v>
      </c>
      <c r="E16" s="101" t="s">
        <v>87</v>
      </c>
      <c r="F16" s="2">
        <v>1234.5</v>
      </c>
    </row>
    <row r="17" spans="2:16">
      <c r="D17" s="2" t="s">
        <v>72</v>
      </c>
      <c r="E17" s="101" t="s">
        <v>87</v>
      </c>
      <c r="F17" s="98"/>
    </row>
    <row r="18" spans="2:16">
      <c r="D18" s="2" t="s">
        <v>88</v>
      </c>
      <c r="E18" s="101" t="s">
        <v>87</v>
      </c>
      <c r="F18" s="39">
        <v>0.123</v>
      </c>
    </row>
    <row r="19" spans="2:16" ht="13.5" thickBot="1">
      <c r="D19" s="2" t="s">
        <v>89</v>
      </c>
      <c r="E19" s="101" t="s">
        <v>87</v>
      </c>
      <c r="F19" s="99">
        <v>12.3</v>
      </c>
    </row>
    <row r="20" spans="2:16" ht="14" thickTop="1" thickBot="1">
      <c r="D20" s="2" t="s">
        <v>90</v>
      </c>
      <c r="E20" s="101" t="s">
        <v>87</v>
      </c>
      <c r="F20" s="100"/>
    </row>
    <row r="21" spans="2:16" ht="13.5" thickTop="1">
      <c r="D21" s="2" t="s">
        <v>91</v>
      </c>
      <c r="E21" s="101" t="s">
        <v>87</v>
      </c>
      <c r="F21" s="2" t="s">
        <v>92</v>
      </c>
    </row>
    <row r="22" spans="2:16">
      <c r="D22" s="2" t="s">
        <v>93</v>
      </c>
      <c r="E22" s="101" t="s">
        <v>94</v>
      </c>
      <c r="F22" s="101" t="s">
        <v>94</v>
      </c>
    </row>
    <row r="23" spans="2:16" ht="20" thickBot="1">
      <c r="D23" s="2" t="s">
        <v>95</v>
      </c>
      <c r="E23" s="101" t="s">
        <v>94</v>
      </c>
      <c r="F23" s="97" t="s">
        <v>94</v>
      </c>
    </row>
    <row r="24" spans="2:16" ht="13.5" thickTop="1">
      <c r="E24" s="101"/>
    </row>
    <row r="25" spans="2:16">
      <c r="E25" s="101"/>
    </row>
    <row r="26" spans="2:16" ht="20" thickBot="1">
      <c r="B26" s="97" t="s">
        <v>104</v>
      </c>
      <c r="C26" s="97"/>
      <c r="D26" s="97"/>
      <c r="E26" s="14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</row>
    <row r="27" spans="2:16" ht="13.5" thickTop="1">
      <c r="E27" s="101"/>
    </row>
    <row r="28" spans="2:16">
      <c r="D28" s="2" t="s">
        <v>64</v>
      </c>
      <c r="E28" s="101" t="s">
        <v>105</v>
      </c>
      <c r="K28" s="98">
        <v>32421</v>
      </c>
    </row>
    <row r="29" spans="2:16">
      <c r="D29" s="2" t="s">
        <v>62</v>
      </c>
      <c r="E29" s="101" t="s">
        <v>105</v>
      </c>
      <c r="K29" s="98">
        <v>34463</v>
      </c>
    </row>
    <row r="30" spans="2:16">
      <c r="D30" s="2" t="s">
        <v>160</v>
      </c>
      <c r="E30" s="101" t="s">
        <v>105</v>
      </c>
      <c r="K30" s="98">
        <v>2042</v>
      </c>
    </row>
    <row r="31" spans="2:16" ht="13.5" thickBot="1">
      <c r="E31" s="101"/>
    </row>
    <row r="32" spans="2:16" ht="14" thickTop="1" thickBot="1">
      <c r="D32" s="2" t="str">
        <f>Scenarios!B33</f>
        <v>Sales Prices Scenarios</v>
      </c>
      <c r="E32" s="101" t="s">
        <v>105</v>
      </c>
      <c r="L32" s="100">
        <f>Scenarios!L35</f>
        <v>35000</v>
      </c>
      <c r="M32" s="100">
        <f>Scenarios!M35</f>
        <v>35500</v>
      </c>
      <c r="N32" s="100">
        <f>Scenarios!N35</f>
        <v>36000</v>
      </c>
      <c r="O32" s="100">
        <f>Scenarios!O35</f>
        <v>36500</v>
      </c>
      <c r="P32" s="100">
        <f>Scenarios!P35</f>
        <v>37000</v>
      </c>
    </row>
    <row r="33" spans="2:16" ht="14" thickTop="1" thickBot="1">
      <c r="D33" s="2" t="str">
        <f>Scenarios!B16</f>
        <v>Sales Volume Scenarios</v>
      </c>
      <c r="E33" s="101" t="s">
        <v>106</v>
      </c>
      <c r="L33" s="107">
        <f>Scenarios!L18</f>
        <v>2.5000000000000001E-2</v>
      </c>
      <c r="M33" s="107">
        <f>Scenarios!M18</f>
        <v>2.5000000000000001E-2</v>
      </c>
      <c r="N33" s="107">
        <f>Scenarios!N18</f>
        <v>2.5000000000000001E-2</v>
      </c>
      <c r="O33" s="107">
        <f>Scenarios!O18</f>
        <v>2.5000000000000001E-2</v>
      </c>
      <c r="P33" s="107">
        <f>Scenarios!P18</f>
        <v>2.5000000000000001E-2</v>
      </c>
    </row>
    <row r="34" spans="2:16" ht="14" thickTop="1" thickBot="1">
      <c r="E34" s="101"/>
    </row>
    <row r="35" spans="2:16" ht="14" thickTop="1" thickBot="1">
      <c r="D35" s="2" t="s">
        <v>107</v>
      </c>
      <c r="E35" s="101" t="s">
        <v>106</v>
      </c>
      <c r="L35" s="107">
        <f>Scenarios!L27</f>
        <v>0.03</v>
      </c>
      <c r="M35" s="107">
        <f>Scenarios!M27</f>
        <v>0.03</v>
      </c>
      <c r="N35" s="107">
        <f>Scenarios!N27</f>
        <v>0.03</v>
      </c>
      <c r="O35" s="107">
        <f>Scenarios!O27</f>
        <v>0.03</v>
      </c>
      <c r="P35" s="107">
        <f>Scenarios!P27</f>
        <v>0.03</v>
      </c>
    </row>
    <row r="36" spans="2:16" ht="13.5" thickTop="1">
      <c r="E36" s="101"/>
    </row>
    <row r="37" spans="2:16">
      <c r="D37" s="2" t="s">
        <v>108</v>
      </c>
      <c r="E37" s="101" t="s">
        <v>109</v>
      </c>
      <c r="F37" s="98">
        <v>182000</v>
      </c>
    </row>
    <row r="38" spans="2:16">
      <c r="E38" s="101"/>
    </row>
    <row r="39" spans="2:16">
      <c r="E39" s="101"/>
    </row>
    <row r="40" spans="2:16" ht="20" thickBot="1">
      <c r="B40" s="97" t="s">
        <v>110</v>
      </c>
      <c r="C40" s="97"/>
      <c r="D40" s="97"/>
      <c r="E40" s="14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</row>
    <row r="41" spans="2:16" ht="13.5" thickTop="1">
      <c r="E41" s="101"/>
    </row>
    <row r="42" spans="2:16">
      <c r="C42" s="9" t="s">
        <v>65</v>
      </c>
      <c r="E42" s="101"/>
    </row>
    <row r="43" spans="2:16">
      <c r="D43" s="2" t="s">
        <v>111</v>
      </c>
      <c r="E43" s="101" t="s">
        <v>106</v>
      </c>
      <c r="F43" s="109">
        <v>0.6</v>
      </c>
    </row>
    <row r="44" spans="2:16">
      <c r="D44" s="2" t="s">
        <v>112</v>
      </c>
      <c r="E44" s="101" t="s">
        <v>106</v>
      </c>
      <c r="F44" s="109">
        <v>0.4</v>
      </c>
    </row>
    <row r="45" spans="2:16" s="9" customFormat="1">
      <c r="D45" s="9" t="s">
        <v>113</v>
      </c>
      <c r="E45" s="101" t="s">
        <v>106</v>
      </c>
      <c r="F45" s="108">
        <f>SUM(F43:F44)</f>
        <v>1</v>
      </c>
    </row>
    <row r="46" spans="2:16" ht="13.5" thickBot="1">
      <c r="E46" s="101"/>
    </row>
    <row r="47" spans="2:16" ht="14" thickTop="1" thickBot="1">
      <c r="D47" s="2" t="str">
        <f>Scenarios!B25</f>
        <v>Cost Inflation Scenarios</v>
      </c>
      <c r="E47" s="101" t="s">
        <v>106</v>
      </c>
      <c r="L47" s="107">
        <f>Scenarios!L27</f>
        <v>0.03</v>
      </c>
      <c r="M47" s="107">
        <f>Scenarios!M27</f>
        <v>0.03</v>
      </c>
      <c r="N47" s="107">
        <f>Scenarios!N27</f>
        <v>0.03</v>
      </c>
      <c r="O47" s="107">
        <f>Scenarios!O27</f>
        <v>0.03</v>
      </c>
      <c r="P47" s="107">
        <f>Scenarios!P27</f>
        <v>0.03</v>
      </c>
    </row>
    <row r="48" spans="2:16" ht="13.5" thickTop="1">
      <c r="E48" s="101"/>
    </row>
    <row r="49" spans="2:16">
      <c r="D49" s="2" t="s">
        <v>114</v>
      </c>
      <c r="E49" s="101" t="str">
        <f>Currency</f>
        <v>$'m</v>
      </c>
      <c r="L49" s="98">
        <v>1200</v>
      </c>
    </row>
    <row r="50" spans="2:16">
      <c r="E50" s="101"/>
    </row>
    <row r="51" spans="2:16">
      <c r="E51" s="101"/>
    </row>
    <row r="52" spans="2:16">
      <c r="E52" s="101"/>
    </row>
    <row r="53" spans="2:16">
      <c r="E53" s="101"/>
    </row>
    <row r="54" spans="2:16" ht="20" thickBot="1">
      <c r="B54" s="97" t="s">
        <v>115</v>
      </c>
      <c r="C54" s="97"/>
      <c r="D54" s="97"/>
      <c r="E54" s="14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</row>
    <row r="55" spans="2:16" ht="13.5" thickTop="1">
      <c r="E55" s="101"/>
    </row>
    <row r="56" spans="2:16">
      <c r="D56" s="2" t="s">
        <v>116</v>
      </c>
      <c r="E56" s="101" t="str">
        <f>Currency</f>
        <v>$'m</v>
      </c>
      <c r="L56" s="98">
        <v>225</v>
      </c>
      <c r="M56" s="98">
        <v>225</v>
      </c>
      <c r="N56" s="98">
        <v>225</v>
      </c>
      <c r="O56" s="98">
        <v>225</v>
      </c>
      <c r="P56" s="98">
        <v>225</v>
      </c>
    </row>
    <row r="57" spans="2:16">
      <c r="E57" s="101"/>
    </row>
    <row r="58" spans="2:16">
      <c r="D58" s="110" t="s">
        <v>117</v>
      </c>
      <c r="E58" s="164" t="s">
        <v>118</v>
      </c>
      <c r="F58" s="112"/>
    </row>
    <row r="59" spans="2:16">
      <c r="E59" s="101"/>
    </row>
    <row r="60" spans="2:16">
      <c r="C60" s="9" t="s">
        <v>119</v>
      </c>
      <c r="E60" s="101"/>
    </row>
    <row r="61" spans="2:16">
      <c r="D61" s="2" t="s">
        <v>120</v>
      </c>
      <c r="E61" s="101" t="s">
        <v>122</v>
      </c>
      <c r="F61" s="98">
        <v>12</v>
      </c>
    </row>
    <row r="62" spans="2:16">
      <c r="D62" s="2" t="s">
        <v>121</v>
      </c>
      <c r="E62" s="101" t="s">
        <v>122</v>
      </c>
      <c r="F62" s="98">
        <v>18</v>
      </c>
    </row>
    <row r="63" spans="2:16">
      <c r="E63" s="101"/>
    </row>
    <row r="64" spans="2:16">
      <c r="E64" s="101"/>
    </row>
    <row r="65" spans="2:16" ht="20" thickBot="1">
      <c r="B65" s="97" t="s">
        <v>123</v>
      </c>
      <c r="C65" s="97"/>
      <c r="D65" s="97"/>
      <c r="E65" s="14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</row>
    <row r="66" spans="2:16" ht="13.5" thickTop="1">
      <c r="E66" s="101"/>
    </row>
    <row r="67" spans="2:16">
      <c r="D67" s="2" t="s">
        <v>124</v>
      </c>
      <c r="E67" s="101" t="s">
        <v>106</v>
      </c>
      <c r="F67" s="109">
        <v>0.35</v>
      </c>
    </row>
    <row r="68" spans="2:16">
      <c r="E68" s="101"/>
    </row>
    <row r="69" spans="2:16">
      <c r="D69" s="2" t="s">
        <v>125</v>
      </c>
      <c r="E69" s="101" t="str">
        <f>Currency</f>
        <v>$'m</v>
      </c>
      <c r="L69" s="98">
        <v>100</v>
      </c>
      <c r="M69" s="98">
        <v>100</v>
      </c>
      <c r="N69" s="98">
        <v>100</v>
      </c>
      <c r="O69" s="98">
        <v>100</v>
      </c>
      <c r="P69" s="98">
        <v>100</v>
      </c>
    </row>
    <row r="70" spans="2:16">
      <c r="E70" s="101"/>
    </row>
    <row r="71" spans="2:16">
      <c r="E71" s="101"/>
    </row>
    <row r="72" spans="2:16" ht="20" thickBot="1">
      <c r="B72" s="97" t="s">
        <v>126</v>
      </c>
      <c r="C72" s="97"/>
      <c r="D72" s="97"/>
      <c r="E72" s="14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</row>
    <row r="73" spans="2:16" ht="14" thickTop="1" thickBot="1">
      <c r="E73" s="101"/>
    </row>
    <row r="74" spans="2:16" ht="14" thickTop="1" thickBot="1">
      <c r="D74" s="2" t="str">
        <f>D10</f>
        <v>Days in the Year</v>
      </c>
      <c r="E74" s="101" t="str">
        <f>E10</f>
        <v>Days</v>
      </c>
      <c r="I74" s="114">
        <f t="shared" ref="I74:P74" si="2">I10</f>
        <v>365</v>
      </c>
      <c r="J74" s="114">
        <f t="shared" si="2"/>
        <v>365</v>
      </c>
      <c r="K74" s="114">
        <f t="shared" si="2"/>
        <v>365</v>
      </c>
      <c r="L74" s="114">
        <f t="shared" si="2"/>
        <v>366</v>
      </c>
      <c r="M74" s="114">
        <f t="shared" si="2"/>
        <v>365</v>
      </c>
      <c r="N74" s="114">
        <f t="shared" si="2"/>
        <v>365</v>
      </c>
      <c r="O74" s="114">
        <f t="shared" si="2"/>
        <v>365</v>
      </c>
      <c r="P74" s="114">
        <f t="shared" si="2"/>
        <v>366</v>
      </c>
    </row>
    <row r="75" spans="2:16" ht="13.5" thickTop="1">
      <c r="E75" s="101"/>
    </row>
    <row r="76" spans="2:16" ht="13.5" thickBot="1">
      <c r="C76" s="9" t="s">
        <v>127</v>
      </c>
      <c r="E76" s="101"/>
    </row>
    <row r="77" spans="2:16" ht="14" thickTop="1" thickBot="1">
      <c r="D77" s="2" t="str">
        <f>Model!D21</f>
        <v>Net Revenue</v>
      </c>
      <c r="E77" s="101" t="str">
        <f>Model!E21</f>
        <v>$'m</v>
      </c>
      <c r="I77" s="100">
        <f>Model!I21</f>
        <v>5118.4000000000005</v>
      </c>
      <c r="J77" s="100">
        <f>Model!J21</f>
        <v>5392.4</v>
      </c>
      <c r="K77" s="100">
        <f>Model!K21</f>
        <v>5277.2000000000007</v>
      </c>
    </row>
    <row r="78" spans="2:16" ht="14" thickTop="1" thickBot="1">
      <c r="D78" s="2" t="str">
        <f>Model!D23</f>
        <v>Cost of Sales</v>
      </c>
      <c r="E78" s="101" t="str">
        <f>Model!E23</f>
        <v>$'m</v>
      </c>
      <c r="I78" s="100">
        <f>Model!I23</f>
        <v>3243.3</v>
      </c>
      <c r="J78" s="100">
        <f>Model!J23</f>
        <v>3403.7</v>
      </c>
      <c r="K78" s="100">
        <f>Model!K23</f>
        <v>3322.3</v>
      </c>
    </row>
    <row r="79" spans="2:16" ht="13.5" thickTop="1">
      <c r="E79" s="101"/>
    </row>
    <row r="80" spans="2:16" ht="13.5" thickBot="1">
      <c r="C80" s="9" t="s">
        <v>128</v>
      </c>
      <c r="E80" s="101"/>
    </row>
    <row r="81" spans="3:16" ht="14" thickTop="1" thickBot="1">
      <c r="D81" s="2" t="str">
        <f>Model!D103</f>
        <v>Accounts Receivable</v>
      </c>
      <c r="E81" s="101" t="str">
        <f>Currency</f>
        <v>$'m</v>
      </c>
      <c r="I81" s="100">
        <f>Model!I103</f>
        <v>787.2</v>
      </c>
      <c r="J81" s="100">
        <f>Model!J103</f>
        <v>882.6</v>
      </c>
      <c r="K81" s="100">
        <f>Model!K103</f>
        <v>869.2</v>
      </c>
    </row>
    <row r="82" spans="3:16" ht="14" thickTop="1" thickBot="1">
      <c r="D82" s="2" t="str">
        <f>Model!D104</f>
        <v>Inventory</v>
      </c>
      <c r="E82" s="101" t="str">
        <f>Currency</f>
        <v>$'m</v>
      </c>
      <c r="I82" s="100">
        <f>Model!I104</f>
        <v>915.9</v>
      </c>
      <c r="J82" s="100">
        <f>Model!J104</f>
        <v>951</v>
      </c>
      <c r="K82" s="100">
        <f>Model!K104</f>
        <v>929.9</v>
      </c>
    </row>
    <row r="83" spans="3:16" ht="14" thickTop="1" thickBot="1">
      <c r="D83" s="2" t="str">
        <f>Model!D105</f>
        <v>Other</v>
      </c>
      <c r="E83" s="101" t="str">
        <f>Currency</f>
        <v>$'m</v>
      </c>
      <c r="I83" s="100">
        <f>Model!I105</f>
        <v>185.8</v>
      </c>
      <c r="J83" s="100">
        <f>Model!J105</f>
        <v>181.3</v>
      </c>
      <c r="K83" s="100">
        <f>Model!K105</f>
        <v>183.7</v>
      </c>
    </row>
    <row r="84" spans="3:16" s="9" customFormat="1" ht="13.5" thickTop="1">
      <c r="D84" s="9" t="s">
        <v>129</v>
      </c>
      <c r="E84" s="101" t="str">
        <f>Currency</f>
        <v>$'m</v>
      </c>
      <c r="I84" s="9">
        <f>SUM(I81:I83)</f>
        <v>1888.8999999999999</v>
      </c>
      <c r="J84" s="9">
        <f t="shared" ref="J84:K84" si="3">SUM(J81:J83)</f>
        <v>2014.8999999999999</v>
      </c>
      <c r="K84" s="9">
        <f t="shared" si="3"/>
        <v>1982.8</v>
      </c>
    </row>
    <row r="85" spans="3:16" ht="13.5" thickBot="1">
      <c r="E85" s="101"/>
    </row>
    <row r="86" spans="3:16" ht="14" thickTop="1" thickBot="1">
      <c r="D86" s="2" t="str">
        <f>Model!D119</f>
        <v>Accounts Payable</v>
      </c>
      <c r="E86" s="101" t="str">
        <f>Currency</f>
        <v>$'m</v>
      </c>
      <c r="I86" s="100">
        <f>Model!I119</f>
        <v>375</v>
      </c>
      <c r="J86" s="100">
        <f>Model!J119</f>
        <v>378</v>
      </c>
      <c r="K86" s="100">
        <f>Model!K119</f>
        <v>349.2</v>
      </c>
    </row>
    <row r="87" spans="3:16" ht="14" thickTop="1" thickBot="1">
      <c r="D87" s="2" t="str">
        <f>Model!D120</f>
        <v>Other</v>
      </c>
      <c r="E87" s="101" t="str">
        <f>Currency</f>
        <v>$'m</v>
      </c>
      <c r="I87" s="100">
        <f>Model!I120</f>
        <v>4.9000000000000004</v>
      </c>
      <c r="J87" s="100">
        <f>Model!J120</f>
        <v>5.8</v>
      </c>
      <c r="K87" s="100">
        <f>Model!K120</f>
        <v>5.3</v>
      </c>
    </row>
    <row r="88" spans="3:16" s="9" customFormat="1" ht="13.5" thickTop="1">
      <c r="D88" s="9" t="s">
        <v>130</v>
      </c>
      <c r="E88" s="101" t="str">
        <f>Currency</f>
        <v>$'m</v>
      </c>
      <c r="I88" s="9">
        <f>SUM(I86:I87)</f>
        <v>379.9</v>
      </c>
      <c r="J88" s="9">
        <f t="shared" ref="J88:K88" si="4">SUM(J86:J87)</f>
        <v>383.8</v>
      </c>
      <c r="K88" s="9">
        <f t="shared" si="4"/>
        <v>354.5</v>
      </c>
    </row>
    <row r="89" spans="3:16">
      <c r="E89" s="101"/>
    </row>
    <row r="90" spans="3:16">
      <c r="C90" s="9" t="s">
        <v>83</v>
      </c>
      <c r="E90" s="101"/>
    </row>
    <row r="91" spans="3:16">
      <c r="D91" s="2" t="str">
        <f>D81</f>
        <v>Accounts Receivable</v>
      </c>
      <c r="E91" s="101" t="s">
        <v>83</v>
      </c>
      <c r="I91" s="2">
        <f>I81/I77*I74</f>
        <v>56.136292591434824</v>
      </c>
      <c r="J91" s="2">
        <f t="shared" ref="J91:K91" si="5">J81/J77*J74</f>
        <v>59.741302573993032</v>
      </c>
      <c r="K91" s="2">
        <f t="shared" si="5"/>
        <v>60.118623512468723</v>
      </c>
      <c r="L91" s="98">
        <v>58.665406225965533</v>
      </c>
      <c r="M91" s="98">
        <v>58.665406225965533</v>
      </c>
      <c r="N91" s="98">
        <v>58.665406225965533</v>
      </c>
      <c r="O91" s="98">
        <v>58.665406225965533</v>
      </c>
      <c r="P91" s="98">
        <v>58.665406225965533</v>
      </c>
    </row>
    <row r="92" spans="3:16">
      <c r="D92" s="2" t="str">
        <f t="shared" ref="D92:D93" si="6">D82</f>
        <v>Inventory</v>
      </c>
      <c r="E92" s="101" t="s">
        <v>83</v>
      </c>
      <c r="I92" s="2">
        <f>I82/I$78*I$74</f>
        <v>103.075108685598</v>
      </c>
      <c r="J92" s="2">
        <f t="shared" ref="J92:K93" si="7">J82/J$78*J$74</f>
        <v>101.98166700943091</v>
      </c>
      <c r="K92" s="2">
        <f t="shared" si="7"/>
        <v>102.16220690485507</v>
      </c>
      <c r="L92" s="98">
        <v>102.40632753329466</v>
      </c>
      <c r="M92" s="98">
        <v>102.40632753329466</v>
      </c>
      <c r="N92" s="98">
        <v>102.40632753329466</v>
      </c>
      <c r="O92" s="98">
        <v>102.40632753329466</v>
      </c>
      <c r="P92" s="98">
        <v>102.40632753329466</v>
      </c>
    </row>
    <row r="93" spans="3:16">
      <c r="D93" s="2" t="str">
        <f t="shared" si="6"/>
        <v>Other</v>
      </c>
      <c r="E93" s="101" t="s">
        <v>83</v>
      </c>
      <c r="I93" s="2">
        <f>I83/I$78*I$74</f>
        <v>20.909875743841148</v>
      </c>
      <c r="J93" s="2">
        <f t="shared" si="7"/>
        <v>19.441930839968272</v>
      </c>
      <c r="K93" s="2">
        <f t="shared" si="7"/>
        <v>20.181952261987178</v>
      </c>
      <c r="L93" s="98">
        <v>20.177919615265534</v>
      </c>
      <c r="M93" s="98">
        <v>20.177919615265534</v>
      </c>
      <c r="N93" s="98">
        <v>20.177919615265534</v>
      </c>
      <c r="O93" s="98">
        <v>20.177919615265534</v>
      </c>
      <c r="P93" s="98">
        <v>20.177919615265534</v>
      </c>
    </row>
    <row r="94" spans="3:16">
      <c r="E94" s="101"/>
      <c r="L94" s="98"/>
      <c r="M94" s="98"/>
      <c r="N94" s="98"/>
      <c r="O94" s="98"/>
      <c r="P94" s="98"/>
    </row>
    <row r="95" spans="3:16">
      <c r="E95" s="101"/>
      <c r="L95" s="98"/>
      <c r="M95" s="98"/>
      <c r="N95" s="98"/>
      <c r="O95" s="98"/>
      <c r="P95" s="98"/>
    </row>
    <row r="96" spans="3:16">
      <c r="D96" s="2" t="str">
        <f t="shared" ref="D96:D97" si="8">D86</f>
        <v>Accounts Payable</v>
      </c>
      <c r="E96" s="101" t="s">
        <v>83</v>
      </c>
      <c r="I96" s="2">
        <f>I86/I$78*I$74</f>
        <v>42.20238645823698</v>
      </c>
      <c r="J96" s="2">
        <f t="shared" ref="J96:K96" si="9">J86/J$78*J$74</f>
        <v>40.535299820783266</v>
      </c>
      <c r="K96" s="2">
        <f t="shared" si="9"/>
        <v>38.364386118050746</v>
      </c>
      <c r="L96" s="98">
        <v>40.367357465690326</v>
      </c>
      <c r="M96" s="98">
        <v>40.367357465690326</v>
      </c>
      <c r="N96" s="98">
        <v>40.367357465690326</v>
      </c>
      <c r="O96" s="98">
        <v>40.367357465690326</v>
      </c>
      <c r="P96" s="98">
        <v>40.367357465690326</v>
      </c>
    </row>
    <row r="97" spans="2:16">
      <c r="D97" s="2" t="str">
        <f t="shared" si="8"/>
        <v>Other</v>
      </c>
      <c r="E97" s="101" t="s">
        <v>83</v>
      </c>
      <c r="I97" s="2">
        <f>I87/I$78*I$74</f>
        <v>0.55144451638762981</v>
      </c>
      <c r="J97" s="2">
        <f t="shared" ref="J97:K97" si="10">J87/J$78*J$74</f>
        <v>0.62197020889032528</v>
      </c>
      <c r="K97" s="2">
        <f t="shared" si="10"/>
        <v>0.5822773379887427</v>
      </c>
      <c r="L97" s="98">
        <v>0.58523068775556597</v>
      </c>
      <c r="M97" s="98">
        <v>0.58523068775556597</v>
      </c>
      <c r="N97" s="98">
        <v>0.58523068775556597</v>
      </c>
      <c r="O97" s="98">
        <v>0.58523068775556597</v>
      </c>
      <c r="P97" s="98">
        <v>0.58523068775556597</v>
      </c>
    </row>
    <row r="98" spans="2:16">
      <c r="E98" s="101"/>
    </row>
    <row r="99" spans="2:16">
      <c r="E99" s="101"/>
    </row>
    <row r="100" spans="2:16" ht="20" thickBot="1">
      <c r="B100" s="97" t="s">
        <v>131</v>
      </c>
      <c r="C100" s="97"/>
      <c r="D100" s="97"/>
      <c r="E100" s="147"/>
      <c r="F100" s="97"/>
      <c r="G100" s="97"/>
      <c r="H100" s="97"/>
      <c r="I100" s="97"/>
      <c r="J100" s="97"/>
      <c r="K100" s="97"/>
      <c r="L100" s="97"/>
      <c r="M100" s="97"/>
      <c r="N100" s="97"/>
      <c r="O100" s="97"/>
      <c r="P100" s="97"/>
    </row>
    <row r="101" spans="2:16" ht="13.5" thickTop="1">
      <c r="E101" s="101"/>
    </row>
    <row r="102" spans="2:16">
      <c r="C102" s="9" t="s">
        <v>132</v>
      </c>
      <c r="E102" s="101"/>
    </row>
    <row r="103" spans="2:16">
      <c r="D103" s="2" t="s">
        <v>133</v>
      </c>
      <c r="E103" s="101" t="str">
        <f>Currency</f>
        <v>$'m</v>
      </c>
      <c r="L103" s="98">
        <v>0</v>
      </c>
      <c r="M103" s="98">
        <v>50</v>
      </c>
      <c r="N103" s="98">
        <v>0</v>
      </c>
      <c r="O103" s="98">
        <v>0</v>
      </c>
      <c r="P103" s="98">
        <v>0</v>
      </c>
    </row>
    <row r="104" spans="2:16">
      <c r="D104" s="2" t="s">
        <v>134</v>
      </c>
      <c r="E104" s="101" t="s">
        <v>106</v>
      </c>
      <c r="F104" s="109">
        <v>9.2499999999999999E-2</v>
      </c>
    </row>
    <row r="105" spans="2:16">
      <c r="E105" s="101"/>
    </row>
    <row r="106" spans="2:16">
      <c r="C106" s="9" t="s">
        <v>135</v>
      </c>
      <c r="E106" s="101"/>
    </row>
    <row r="107" spans="2:16">
      <c r="D107" s="2" t="s">
        <v>136</v>
      </c>
      <c r="E107" s="101" t="str">
        <f>Currency</f>
        <v>$'m</v>
      </c>
      <c r="L107" s="98">
        <v>100</v>
      </c>
      <c r="M107" s="98">
        <v>100</v>
      </c>
      <c r="N107" s="98">
        <v>0</v>
      </c>
      <c r="O107" s="98">
        <v>0</v>
      </c>
      <c r="P107" s="98">
        <v>0</v>
      </c>
    </row>
    <row r="108" spans="2:16">
      <c r="D108" s="2" t="str">
        <f>D104</f>
        <v>Dividend Payout</v>
      </c>
      <c r="E108" s="101" t="str">
        <f>E104</f>
        <v>%</v>
      </c>
      <c r="F108" s="109">
        <v>0.35</v>
      </c>
    </row>
    <row r="109" spans="2:16">
      <c r="E109" s="101"/>
    </row>
    <row r="110" spans="2:16">
      <c r="E110" s="101"/>
    </row>
    <row r="111" spans="2:16" ht="20" thickBot="1">
      <c r="B111" s="97" t="s">
        <v>137</v>
      </c>
      <c r="C111" s="97"/>
      <c r="D111" s="97"/>
      <c r="E111" s="147"/>
      <c r="F111" s="97"/>
      <c r="G111" s="97"/>
      <c r="H111" s="97"/>
      <c r="I111" s="97"/>
      <c r="J111" s="97"/>
      <c r="K111" s="97"/>
      <c r="L111" s="97"/>
      <c r="M111" s="97"/>
      <c r="N111" s="97"/>
      <c r="O111" s="97"/>
      <c r="P111" s="97"/>
    </row>
    <row r="112" spans="2:16" ht="13.5" thickTop="1">
      <c r="E112" s="101"/>
    </row>
    <row r="113" spans="3:6">
      <c r="C113" s="9" t="s">
        <v>139</v>
      </c>
      <c r="E113" s="101"/>
    </row>
    <row r="114" spans="3:6">
      <c r="D114" s="2" t="s">
        <v>138</v>
      </c>
      <c r="E114" s="101" t="s">
        <v>106</v>
      </c>
      <c r="F114" s="109">
        <v>7.0999999999999994E-2</v>
      </c>
    </row>
    <row r="115" spans="3:6">
      <c r="E115" s="101"/>
    </row>
    <row r="116" spans="3:6">
      <c r="D116" s="2" t="s">
        <v>140</v>
      </c>
      <c r="E116" s="101" t="s">
        <v>106</v>
      </c>
      <c r="F116" s="109">
        <v>7.4999999999999997E-2</v>
      </c>
    </row>
    <row r="117" spans="3:6">
      <c r="E117" s="101"/>
    </row>
    <row r="118" spans="3:6">
      <c r="C118" s="9" t="s">
        <v>142</v>
      </c>
      <c r="E118" s="101"/>
    </row>
    <row r="119" spans="3:6">
      <c r="D119" s="2" t="s">
        <v>141</v>
      </c>
      <c r="E119" s="101" t="s">
        <v>106</v>
      </c>
    </row>
    <row r="120" spans="3:6">
      <c r="D120" s="2" t="s">
        <v>143</v>
      </c>
      <c r="E120" s="101" t="s">
        <v>106</v>
      </c>
      <c r="F120" s="109">
        <v>5.2999999999999999E-2</v>
      </c>
    </row>
    <row r="121" spans="3:6">
      <c r="E121" s="101"/>
    </row>
    <row r="122" spans="3:6">
      <c r="E122" s="101"/>
    </row>
    <row r="123" spans="3:6">
      <c r="D123" s="9" t="s">
        <v>144</v>
      </c>
      <c r="E123" s="101" t="s">
        <v>145</v>
      </c>
    </row>
    <row r="124" spans="3:6">
      <c r="D124" s="115">
        <v>0</v>
      </c>
      <c r="E124" s="165">
        <v>0.01</v>
      </c>
    </row>
    <row r="125" spans="3:6">
      <c r="D125" s="115">
        <v>1</v>
      </c>
      <c r="E125" s="165">
        <v>1.4999999999999999E-2</v>
      </c>
    </row>
    <row r="126" spans="3:6">
      <c r="D126" s="115">
        <v>2</v>
      </c>
      <c r="E126" s="165">
        <v>0.02</v>
      </c>
    </row>
    <row r="127" spans="3:6">
      <c r="D127" s="115">
        <v>3</v>
      </c>
      <c r="E127" s="165">
        <v>2.5000000000000001E-2</v>
      </c>
    </row>
    <row r="128" spans="3:6">
      <c r="D128" s="115">
        <v>4</v>
      </c>
      <c r="E128" s="165">
        <v>2.75E-2</v>
      </c>
    </row>
    <row r="129" spans="2:16">
      <c r="D129" s="115">
        <v>4.5</v>
      </c>
      <c r="E129" s="165">
        <v>0.03</v>
      </c>
    </row>
    <row r="130" spans="2:16">
      <c r="E130" s="101"/>
    </row>
    <row r="131" spans="2:16">
      <c r="D131" s="2" t="s">
        <v>146</v>
      </c>
      <c r="E131" s="101" t="s">
        <v>106</v>
      </c>
      <c r="F131" s="109">
        <v>3.5000000000000003E-2</v>
      </c>
    </row>
    <row r="132" spans="2:16">
      <c r="E132" s="101"/>
    </row>
    <row r="133" spans="2:16">
      <c r="D133" s="2" t="s">
        <v>147</v>
      </c>
      <c r="E133" s="101" t="str">
        <f>Currency</f>
        <v>$'m</v>
      </c>
      <c r="L133" s="98">
        <v>150</v>
      </c>
      <c r="M133" s="98">
        <v>150</v>
      </c>
      <c r="N133" s="98">
        <v>150</v>
      </c>
      <c r="O133" s="98">
        <v>150</v>
      </c>
      <c r="P133" s="98">
        <v>150</v>
      </c>
    </row>
    <row r="134" spans="2:16">
      <c r="D134" s="2" t="s">
        <v>148</v>
      </c>
      <c r="E134" s="101" t="str">
        <f>Currency</f>
        <v>$'m</v>
      </c>
      <c r="L134" s="98">
        <v>75</v>
      </c>
      <c r="M134" s="98">
        <v>75</v>
      </c>
      <c r="N134" s="98">
        <v>75</v>
      </c>
      <c r="O134" s="98">
        <v>75</v>
      </c>
      <c r="P134" s="98">
        <v>75</v>
      </c>
    </row>
    <row r="135" spans="2:16">
      <c r="E135" s="101"/>
    </row>
    <row r="136" spans="2:16">
      <c r="E136" s="101"/>
    </row>
    <row r="137" spans="2:16" ht="20" thickBot="1">
      <c r="B137" s="97" t="s">
        <v>149</v>
      </c>
      <c r="C137" s="97"/>
      <c r="D137" s="97"/>
      <c r="E137" s="147"/>
      <c r="F137" s="97"/>
      <c r="G137" s="97"/>
      <c r="H137" s="97"/>
      <c r="I137" s="97"/>
      <c r="J137" s="97"/>
      <c r="K137" s="97"/>
      <c r="L137" s="97"/>
      <c r="M137" s="97"/>
      <c r="N137" s="97"/>
      <c r="O137" s="97"/>
      <c r="P137" s="97"/>
    </row>
    <row r="138" spans="2:16" ht="13.5" thickTop="1">
      <c r="E138" s="101"/>
    </row>
    <row r="139" spans="2:16">
      <c r="D139" s="2" t="s">
        <v>150</v>
      </c>
      <c r="E139" s="101" t="str">
        <f t="shared" ref="E139:E149" si="11">Currency</f>
        <v>$'m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</row>
    <row r="140" spans="2:16">
      <c r="D140" s="2" t="s">
        <v>151</v>
      </c>
      <c r="E140" s="101" t="str">
        <f t="shared" si="11"/>
        <v>$'m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</row>
    <row r="141" spans="2:16">
      <c r="D141" s="2" t="s">
        <v>152</v>
      </c>
      <c r="E141" s="101" t="str">
        <f t="shared" si="11"/>
        <v>$'m</v>
      </c>
      <c r="L141" s="98">
        <v>0</v>
      </c>
      <c r="M141" s="98">
        <v>0</v>
      </c>
      <c r="N141" s="98">
        <v>0</v>
      </c>
      <c r="O141" s="98">
        <v>0</v>
      </c>
      <c r="P141" s="98">
        <v>0</v>
      </c>
    </row>
    <row r="142" spans="2:16">
      <c r="D142" s="2" t="s">
        <v>153</v>
      </c>
      <c r="E142" s="101" t="str">
        <f t="shared" si="11"/>
        <v>$'m</v>
      </c>
      <c r="L142" s="98">
        <v>0</v>
      </c>
      <c r="M142" s="98">
        <v>0</v>
      </c>
      <c r="N142" s="98">
        <v>0</v>
      </c>
      <c r="O142" s="98">
        <v>0</v>
      </c>
      <c r="P142" s="98">
        <v>0</v>
      </c>
    </row>
    <row r="143" spans="2:16">
      <c r="D143" s="2" t="s">
        <v>154</v>
      </c>
      <c r="E143" s="101" t="str">
        <f t="shared" si="11"/>
        <v>$'m</v>
      </c>
      <c r="L143" s="98">
        <v>0</v>
      </c>
      <c r="M143" s="98">
        <v>0</v>
      </c>
      <c r="N143" s="98">
        <v>0</v>
      </c>
      <c r="O143" s="98">
        <v>0</v>
      </c>
      <c r="P143" s="98">
        <v>0</v>
      </c>
    </row>
    <row r="144" spans="2:16">
      <c r="D144" s="2" t="str">
        <f>Model!D74</f>
        <v>Asset Dispositions</v>
      </c>
      <c r="E144" s="101" t="str">
        <f t="shared" si="11"/>
        <v>$'m</v>
      </c>
      <c r="L144" s="98">
        <v>0</v>
      </c>
      <c r="M144" s="98">
        <v>0</v>
      </c>
      <c r="N144" s="98">
        <v>0</v>
      </c>
      <c r="O144" s="98">
        <v>0</v>
      </c>
      <c r="P144" s="98">
        <v>0</v>
      </c>
    </row>
    <row r="145" spans="4:16">
      <c r="D145" s="2" t="str">
        <f>Model!D110</f>
        <v>Intangibles</v>
      </c>
      <c r="E145" s="101" t="str">
        <f t="shared" si="11"/>
        <v>$'m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</row>
    <row r="146" spans="4:16">
      <c r="D146" s="2" t="s">
        <v>155</v>
      </c>
      <c r="E146" s="101" t="str">
        <f t="shared" si="11"/>
        <v>$'m</v>
      </c>
      <c r="L146" s="98">
        <v>0</v>
      </c>
      <c r="M146" s="98">
        <v>0</v>
      </c>
      <c r="N146" s="98">
        <v>0</v>
      </c>
      <c r="O146" s="98">
        <v>0</v>
      </c>
      <c r="P146" s="98">
        <v>0</v>
      </c>
    </row>
    <row r="147" spans="4:16">
      <c r="D147" s="2" t="s">
        <v>156</v>
      </c>
      <c r="E147" s="101" t="str">
        <f t="shared" si="11"/>
        <v>$'m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</row>
    <row r="148" spans="4:16">
      <c r="D148" s="2" t="s">
        <v>157</v>
      </c>
      <c r="E148" s="101" t="str">
        <f t="shared" si="11"/>
        <v>$'m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</row>
    <row r="149" spans="4:16">
      <c r="D149" s="2" t="s">
        <v>31</v>
      </c>
      <c r="E149" s="101" t="str">
        <f t="shared" si="11"/>
        <v>$'m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</row>
    <row r="150" spans="4:16">
      <c r="E150" s="101"/>
    </row>
    <row r="151" spans="4:16">
      <c r="E151" s="101"/>
    </row>
    <row r="152" spans="4:16">
      <c r="E152" s="101"/>
    </row>
    <row r="153" spans="4:16">
      <c r="E153" s="101"/>
    </row>
    <row r="154" spans="4:16">
      <c r="E154" s="101"/>
    </row>
    <row r="155" spans="4:16">
      <c r="E155" s="101"/>
    </row>
    <row r="156" spans="4:16">
      <c r="E156" s="101"/>
    </row>
    <row r="157" spans="4:16">
      <c r="E157" s="101"/>
    </row>
    <row r="158" spans="4:16">
      <c r="E158" s="101"/>
    </row>
    <row r="159" spans="4:16">
      <c r="E159" s="101"/>
    </row>
    <row r="160" spans="4:16">
      <c r="E160" s="101"/>
    </row>
    <row r="161" spans="5:5">
      <c r="E161" s="101"/>
    </row>
    <row r="162" spans="5:5">
      <c r="E162" s="101"/>
    </row>
    <row r="163" spans="5:5">
      <c r="E163" s="101"/>
    </row>
    <row r="164" spans="5:5">
      <c r="E164" s="101"/>
    </row>
    <row r="165" spans="5:5">
      <c r="E165" s="101"/>
    </row>
    <row r="166" spans="5:5">
      <c r="E166" s="101"/>
    </row>
    <row r="167" spans="5:5">
      <c r="E167" s="101"/>
    </row>
    <row r="168" spans="5:5">
      <c r="E168" s="101"/>
    </row>
    <row r="169" spans="5:5">
      <c r="E169" s="101"/>
    </row>
    <row r="170" spans="5:5">
      <c r="E170" s="101"/>
    </row>
    <row r="171" spans="5:5">
      <c r="E171" s="101"/>
    </row>
    <row r="172" spans="5:5">
      <c r="E172" s="101"/>
    </row>
    <row r="173" spans="5:5">
      <c r="E173" s="101"/>
    </row>
    <row r="174" spans="5:5">
      <c r="E174" s="101"/>
    </row>
    <row r="175" spans="5:5">
      <c r="E175" s="101"/>
    </row>
    <row r="176" spans="5:5">
      <c r="E176" s="101"/>
    </row>
    <row r="177" spans="5:5">
      <c r="E177" s="101"/>
    </row>
    <row r="178" spans="5:5">
      <c r="E178" s="101"/>
    </row>
    <row r="179" spans="5:5">
      <c r="E179" s="101"/>
    </row>
    <row r="180" spans="5:5">
      <c r="E180" s="101"/>
    </row>
    <row r="181" spans="5:5">
      <c r="E181" s="101"/>
    </row>
    <row r="182" spans="5:5">
      <c r="E182" s="101"/>
    </row>
    <row r="183" spans="5:5">
      <c r="E183" s="101"/>
    </row>
    <row r="184" spans="5:5">
      <c r="E184" s="101"/>
    </row>
    <row r="185" spans="5:5">
      <c r="E185" s="101"/>
    </row>
    <row r="186" spans="5:5">
      <c r="E186" s="101"/>
    </row>
    <row r="187" spans="5:5">
      <c r="E187" s="101"/>
    </row>
    <row r="188" spans="5:5">
      <c r="E188" s="101"/>
    </row>
    <row r="189" spans="5:5">
      <c r="E189" s="101"/>
    </row>
    <row r="190" spans="5:5">
      <c r="E190" s="101"/>
    </row>
    <row r="191" spans="5:5">
      <c r="E191" s="101"/>
    </row>
    <row r="192" spans="5:5">
      <c r="E192" s="101"/>
    </row>
    <row r="193" spans="5:5">
      <c r="E193" s="101"/>
    </row>
    <row r="194" spans="5:5">
      <c r="E194" s="101"/>
    </row>
    <row r="195" spans="5:5">
      <c r="E195" s="101"/>
    </row>
    <row r="196" spans="5:5">
      <c r="E196" s="101"/>
    </row>
    <row r="197" spans="5:5">
      <c r="E197" s="101"/>
    </row>
    <row r="198" spans="5:5">
      <c r="E198" s="101"/>
    </row>
    <row r="199" spans="5:5">
      <c r="E199" s="101"/>
    </row>
    <row r="200" spans="5:5">
      <c r="E200" s="101"/>
    </row>
    <row r="201" spans="5:5">
      <c r="E201" s="101"/>
    </row>
    <row r="202" spans="5:5">
      <c r="E202" s="101"/>
    </row>
    <row r="203" spans="5:5">
      <c r="E203" s="101"/>
    </row>
    <row r="204" spans="5:5">
      <c r="E204" s="101"/>
    </row>
    <row r="205" spans="5:5">
      <c r="E205" s="101"/>
    </row>
    <row r="206" spans="5:5">
      <c r="E206" s="101"/>
    </row>
    <row r="207" spans="5:5">
      <c r="E207" s="101"/>
    </row>
    <row r="208" spans="5:5">
      <c r="E208" s="101"/>
    </row>
    <row r="209" spans="5:5">
      <c r="E209" s="101"/>
    </row>
    <row r="210" spans="5:5">
      <c r="E210" s="101"/>
    </row>
    <row r="211" spans="5:5">
      <c r="E211" s="101"/>
    </row>
    <row r="212" spans="5:5">
      <c r="E212" s="101"/>
    </row>
    <row r="213" spans="5:5">
      <c r="E213" s="101"/>
    </row>
    <row r="214" spans="5:5">
      <c r="E214" s="101"/>
    </row>
    <row r="215" spans="5:5">
      <c r="E215" s="101"/>
    </row>
    <row r="216" spans="5:5">
      <c r="E216" s="101"/>
    </row>
    <row r="217" spans="5:5">
      <c r="E217" s="101"/>
    </row>
    <row r="218" spans="5:5">
      <c r="E218" s="101"/>
    </row>
    <row r="219" spans="5:5">
      <c r="E219" s="101"/>
    </row>
    <row r="220" spans="5:5">
      <c r="E220" s="101"/>
    </row>
    <row r="221" spans="5:5">
      <c r="E221" s="101"/>
    </row>
    <row r="222" spans="5:5">
      <c r="E222" s="101"/>
    </row>
    <row r="223" spans="5:5">
      <c r="E223" s="101"/>
    </row>
    <row r="224" spans="5:5">
      <c r="E224" s="101"/>
    </row>
    <row r="225" spans="5:5">
      <c r="E225" s="101"/>
    </row>
    <row r="226" spans="5:5">
      <c r="E226" s="101"/>
    </row>
    <row r="227" spans="5:5">
      <c r="E227" s="101"/>
    </row>
    <row r="228" spans="5:5">
      <c r="E228" s="101"/>
    </row>
    <row r="229" spans="5:5">
      <c r="E229" s="101"/>
    </row>
    <row r="230" spans="5:5">
      <c r="E230" s="101"/>
    </row>
    <row r="231" spans="5:5">
      <c r="E231" s="101"/>
    </row>
    <row r="232" spans="5:5">
      <c r="E232" s="101"/>
    </row>
    <row r="233" spans="5:5">
      <c r="E233" s="101"/>
    </row>
    <row r="234" spans="5:5">
      <c r="E234" s="101"/>
    </row>
    <row r="235" spans="5:5">
      <c r="E235" s="101"/>
    </row>
    <row r="236" spans="5:5">
      <c r="E236" s="101"/>
    </row>
    <row r="237" spans="5:5">
      <c r="E237" s="101"/>
    </row>
    <row r="238" spans="5:5">
      <c r="E238" s="101"/>
    </row>
    <row r="239" spans="5:5">
      <c r="E239" s="101"/>
    </row>
    <row r="240" spans="5:5">
      <c r="E240" s="101"/>
    </row>
    <row r="241" spans="5:5">
      <c r="E241" s="101"/>
    </row>
    <row r="242" spans="5:5">
      <c r="E242" s="101"/>
    </row>
    <row r="243" spans="5:5">
      <c r="E243" s="101"/>
    </row>
    <row r="244" spans="5:5">
      <c r="E244" s="101"/>
    </row>
    <row r="245" spans="5:5">
      <c r="E245" s="101"/>
    </row>
    <row r="246" spans="5:5">
      <c r="E246" s="101"/>
    </row>
    <row r="247" spans="5:5">
      <c r="E247" s="101"/>
    </row>
    <row r="248" spans="5:5">
      <c r="E248" s="101"/>
    </row>
    <row r="249" spans="5:5">
      <c r="E249" s="101"/>
    </row>
    <row r="250" spans="5:5">
      <c r="E250" s="101"/>
    </row>
    <row r="251" spans="5:5">
      <c r="E251" s="101"/>
    </row>
    <row r="252" spans="5:5">
      <c r="E252" s="101"/>
    </row>
    <row r="253" spans="5:5">
      <c r="E253" s="101"/>
    </row>
    <row r="254" spans="5:5">
      <c r="E254" s="101"/>
    </row>
    <row r="255" spans="5:5">
      <c r="E255" s="101"/>
    </row>
    <row r="256" spans="5:5">
      <c r="E256" s="101"/>
    </row>
    <row r="257" spans="5:5">
      <c r="E257" s="101"/>
    </row>
    <row r="258" spans="5:5">
      <c r="E258" s="101"/>
    </row>
    <row r="259" spans="5:5">
      <c r="E259" s="101"/>
    </row>
    <row r="260" spans="5:5">
      <c r="E260" s="101"/>
    </row>
    <row r="261" spans="5:5">
      <c r="E261" s="101"/>
    </row>
    <row r="262" spans="5:5">
      <c r="E262" s="101"/>
    </row>
    <row r="263" spans="5:5">
      <c r="E263" s="101"/>
    </row>
    <row r="264" spans="5:5">
      <c r="E264" s="101"/>
    </row>
    <row r="265" spans="5:5">
      <c r="E265" s="101"/>
    </row>
    <row r="266" spans="5:5">
      <c r="E266" s="101"/>
    </row>
    <row r="267" spans="5:5">
      <c r="E267" s="101"/>
    </row>
    <row r="268" spans="5:5">
      <c r="E268" s="101"/>
    </row>
    <row r="269" spans="5:5">
      <c r="E269" s="101"/>
    </row>
    <row r="270" spans="5:5">
      <c r="E270" s="101"/>
    </row>
    <row r="271" spans="5:5">
      <c r="E271" s="101"/>
    </row>
    <row r="272" spans="5:5">
      <c r="E272" s="101"/>
    </row>
    <row r="273" spans="5:5">
      <c r="E273" s="101"/>
    </row>
    <row r="274" spans="5:5">
      <c r="E274" s="101"/>
    </row>
    <row r="275" spans="5:5">
      <c r="E275" s="101"/>
    </row>
    <row r="276" spans="5:5">
      <c r="E276" s="101"/>
    </row>
    <row r="277" spans="5:5">
      <c r="E277" s="101"/>
    </row>
    <row r="278" spans="5:5">
      <c r="E278" s="101"/>
    </row>
    <row r="279" spans="5:5">
      <c r="E279" s="101"/>
    </row>
    <row r="280" spans="5:5">
      <c r="E280" s="101"/>
    </row>
    <row r="281" spans="5:5">
      <c r="E281" s="101"/>
    </row>
    <row r="282" spans="5:5">
      <c r="E282" s="101"/>
    </row>
    <row r="283" spans="5:5">
      <c r="E283" s="101"/>
    </row>
    <row r="284" spans="5:5">
      <c r="E284" s="101"/>
    </row>
    <row r="285" spans="5:5">
      <c r="E285" s="101"/>
    </row>
    <row r="286" spans="5:5">
      <c r="E286" s="101"/>
    </row>
    <row r="287" spans="5:5">
      <c r="E287" s="101"/>
    </row>
    <row r="288" spans="5:5">
      <c r="E288" s="101"/>
    </row>
    <row r="289" spans="5:5">
      <c r="E289" s="101"/>
    </row>
    <row r="290" spans="5:5">
      <c r="E290" s="101"/>
    </row>
    <row r="291" spans="5:5">
      <c r="E291" s="101"/>
    </row>
    <row r="292" spans="5:5">
      <c r="E292" s="101"/>
    </row>
    <row r="293" spans="5:5">
      <c r="E293" s="101"/>
    </row>
    <row r="294" spans="5:5">
      <c r="E294" s="101"/>
    </row>
    <row r="295" spans="5:5">
      <c r="E295" s="101"/>
    </row>
    <row r="296" spans="5:5">
      <c r="E296" s="101"/>
    </row>
    <row r="297" spans="5:5">
      <c r="E297" s="101"/>
    </row>
    <row r="298" spans="5:5">
      <c r="E298" s="101"/>
    </row>
    <row r="299" spans="5:5">
      <c r="E299" s="101"/>
    </row>
    <row r="300" spans="5:5">
      <c r="E300" s="101"/>
    </row>
    <row r="301" spans="5:5">
      <c r="E301" s="101"/>
    </row>
    <row r="302" spans="5:5">
      <c r="E302" s="101"/>
    </row>
    <row r="303" spans="5:5">
      <c r="E303" s="101"/>
    </row>
    <row r="304" spans="5:5">
      <c r="E304" s="101"/>
    </row>
    <row r="305" spans="5:5">
      <c r="E305" s="101"/>
    </row>
    <row r="306" spans="5:5">
      <c r="E306" s="101"/>
    </row>
    <row r="307" spans="5:5">
      <c r="E307" s="101"/>
    </row>
    <row r="308" spans="5:5">
      <c r="E308" s="101"/>
    </row>
    <row r="309" spans="5:5">
      <c r="E309" s="101"/>
    </row>
    <row r="310" spans="5:5">
      <c r="E310" s="101"/>
    </row>
    <row r="311" spans="5:5">
      <c r="E311" s="101"/>
    </row>
    <row r="312" spans="5:5">
      <c r="E312" s="101"/>
    </row>
    <row r="313" spans="5:5">
      <c r="E313" s="101"/>
    </row>
    <row r="314" spans="5:5">
      <c r="E314" s="101"/>
    </row>
    <row r="315" spans="5:5">
      <c r="E315" s="101"/>
    </row>
    <row r="316" spans="5:5">
      <c r="E316" s="101"/>
    </row>
    <row r="317" spans="5:5">
      <c r="E317" s="101"/>
    </row>
    <row r="318" spans="5:5">
      <c r="E318" s="101"/>
    </row>
    <row r="319" spans="5:5">
      <c r="E319" s="101"/>
    </row>
    <row r="320" spans="5:5">
      <c r="E320" s="101"/>
    </row>
    <row r="321" spans="5:5">
      <c r="E321" s="101"/>
    </row>
    <row r="322" spans="5:5">
      <c r="E322" s="101"/>
    </row>
    <row r="323" spans="5:5">
      <c r="E323" s="101"/>
    </row>
    <row r="324" spans="5:5">
      <c r="E324" s="101"/>
    </row>
    <row r="325" spans="5:5">
      <c r="E325" s="101"/>
    </row>
    <row r="326" spans="5:5">
      <c r="E326" s="101"/>
    </row>
    <row r="327" spans="5:5">
      <c r="E327" s="101"/>
    </row>
    <row r="328" spans="5:5">
      <c r="E328" s="101"/>
    </row>
    <row r="329" spans="5:5">
      <c r="E329" s="101"/>
    </row>
    <row r="330" spans="5:5">
      <c r="E330" s="101"/>
    </row>
    <row r="331" spans="5:5">
      <c r="E331" s="101"/>
    </row>
    <row r="332" spans="5:5">
      <c r="E332" s="101"/>
    </row>
    <row r="333" spans="5:5">
      <c r="E333" s="101"/>
    </row>
    <row r="334" spans="5:5">
      <c r="E334" s="101"/>
    </row>
    <row r="335" spans="5:5">
      <c r="E335" s="101"/>
    </row>
    <row r="336" spans="5:5">
      <c r="E336" s="101"/>
    </row>
    <row r="337" spans="5:5">
      <c r="E337" s="101"/>
    </row>
    <row r="338" spans="5:5">
      <c r="E338" s="101"/>
    </row>
    <row r="339" spans="5:5">
      <c r="E339" s="101"/>
    </row>
    <row r="340" spans="5:5">
      <c r="E340" s="101"/>
    </row>
    <row r="341" spans="5:5">
      <c r="E341" s="101"/>
    </row>
    <row r="342" spans="5:5">
      <c r="E342" s="101"/>
    </row>
    <row r="343" spans="5:5">
      <c r="E343" s="101"/>
    </row>
    <row r="344" spans="5:5">
      <c r="E344" s="101"/>
    </row>
    <row r="345" spans="5:5">
      <c r="E345" s="101"/>
    </row>
    <row r="346" spans="5:5">
      <c r="E346" s="101"/>
    </row>
    <row r="347" spans="5:5">
      <c r="E347" s="101"/>
    </row>
    <row r="348" spans="5:5">
      <c r="E348" s="101"/>
    </row>
    <row r="349" spans="5:5">
      <c r="E349" s="101"/>
    </row>
    <row r="350" spans="5:5">
      <c r="E350" s="101"/>
    </row>
    <row r="351" spans="5:5">
      <c r="E351" s="101"/>
    </row>
    <row r="352" spans="5:5">
      <c r="E352" s="101"/>
    </row>
    <row r="353" spans="5:5">
      <c r="E353" s="101"/>
    </row>
    <row r="354" spans="5:5">
      <c r="E354" s="101"/>
    </row>
    <row r="355" spans="5:5">
      <c r="E355" s="101"/>
    </row>
    <row r="356" spans="5:5">
      <c r="E356" s="101"/>
    </row>
    <row r="357" spans="5:5">
      <c r="E357" s="101"/>
    </row>
    <row r="358" spans="5:5">
      <c r="E358" s="101"/>
    </row>
    <row r="359" spans="5:5">
      <c r="E359" s="101"/>
    </row>
    <row r="360" spans="5:5">
      <c r="E360" s="101"/>
    </row>
    <row r="361" spans="5:5">
      <c r="E361" s="101"/>
    </row>
    <row r="362" spans="5:5">
      <c r="E362" s="101"/>
    </row>
    <row r="363" spans="5:5">
      <c r="E363" s="101"/>
    </row>
    <row r="364" spans="5:5">
      <c r="E364" s="101"/>
    </row>
    <row r="365" spans="5:5">
      <c r="E365" s="101"/>
    </row>
    <row r="366" spans="5:5">
      <c r="E366" s="101"/>
    </row>
    <row r="367" spans="5:5">
      <c r="E367" s="101"/>
    </row>
    <row r="368" spans="5:5">
      <c r="E368" s="101"/>
    </row>
    <row r="369" spans="5:5">
      <c r="E369" s="101"/>
    </row>
    <row r="370" spans="5:5">
      <c r="E370" s="101"/>
    </row>
    <row r="371" spans="5:5">
      <c r="E371" s="101"/>
    </row>
    <row r="372" spans="5:5">
      <c r="E372" s="101"/>
    </row>
    <row r="373" spans="5:5">
      <c r="E373" s="101"/>
    </row>
    <row r="374" spans="5:5">
      <c r="E374" s="101"/>
    </row>
    <row r="375" spans="5:5">
      <c r="E375" s="101"/>
    </row>
    <row r="376" spans="5:5">
      <c r="E376" s="101"/>
    </row>
    <row r="377" spans="5:5">
      <c r="E377" s="101"/>
    </row>
    <row r="378" spans="5:5">
      <c r="E378" s="101"/>
    </row>
    <row r="379" spans="5:5">
      <c r="E379" s="101"/>
    </row>
    <row r="380" spans="5:5">
      <c r="E380" s="101"/>
    </row>
    <row r="381" spans="5:5">
      <c r="E381" s="101"/>
    </row>
    <row r="382" spans="5:5">
      <c r="E382" s="101"/>
    </row>
    <row r="383" spans="5:5">
      <c r="E383" s="101"/>
    </row>
    <row r="384" spans="5:5">
      <c r="E384" s="101"/>
    </row>
    <row r="385" spans="5:5">
      <c r="E385" s="101"/>
    </row>
    <row r="386" spans="5:5">
      <c r="E386" s="101"/>
    </row>
    <row r="387" spans="5:5">
      <c r="E387" s="101"/>
    </row>
    <row r="388" spans="5:5">
      <c r="E388" s="101"/>
    </row>
    <row r="389" spans="5:5">
      <c r="E389" s="101"/>
    </row>
    <row r="390" spans="5:5">
      <c r="E390" s="101"/>
    </row>
    <row r="391" spans="5:5">
      <c r="E391" s="101"/>
    </row>
    <row r="392" spans="5:5">
      <c r="E392" s="101"/>
    </row>
    <row r="393" spans="5:5">
      <c r="E393" s="101"/>
    </row>
    <row r="394" spans="5:5">
      <c r="E394" s="101"/>
    </row>
    <row r="395" spans="5:5">
      <c r="E395" s="101"/>
    </row>
    <row r="396" spans="5:5">
      <c r="E396" s="101"/>
    </row>
    <row r="397" spans="5:5">
      <c r="E397" s="101"/>
    </row>
    <row r="398" spans="5:5">
      <c r="E398" s="101"/>
    </row>
    <row r="399" spans="5:5">
      <c r="E399" s="101"/>
    </row>
    <row r="400" spans="5:5">
      <c r="E400" s="101"/>
    </row>
    <row r="401" spans="5:5">
      <c r="E401" s="101"/>
    </row>
    <row r="402" spans="5:5">
      <c r="E402" s="101"/>
    </row>
    <row r="403" spans="5:5">
      <c r="E403" s="101"/>
    </row>
    <row r="404" spans="5:5">
      <c r="E404" s="101"/>
    </row>
    <row r="405" spans="5:5">
      <c r="E405" s="101"/>
    </row>
    <row r="406" spans="5:5">
      <c r="E406" s="101"/>
    </row>
    <row r="407" spans="5:5">
      <c r="E407" s="101"/>
    </row>
    <row r="408" spans="5:5">
      <c r="E408" s="101"/>
    </row>
    <row r="409" spans="5:5">
      <c r="E409" s="101"/>
    </row>
    <row r="410" spans="5:5">
      <c r="E410" s="101"/>
    </row>
    <row r="411" spans="5:5">
      <c r="E411" s="101"/>
    </row>
    <row r="412" spans="5:5">
      <c r="E412" s="101"/>
    </row>
    <row r="413" spans="5:5">
      <c r="E413" s="101"/>
    </row>
    <row r="414" spans="5:5">
      <c r="E414" s="101"/>
    </row>
    <row r="415" spans="5:5">
      <c r="E415" s="101"/>
    </row>
    <row r="416" spans="5:5">
      <c r="E416" s="101"/>
    </row>
    <row r="417" spans="5:5">
      <c r="E417" s="101"/>
    </row>
    <row r="418" spans="5:5">
      <c r="E418" s="101"/>
    </row>
    <row r="419" spans="5:5">
      <c r="E419" s="101"/>
    </row>
    <row r="420" spans="5:5">
      <c r="E420" s="101"/>
    </row>
    <row r="421" spans="5:5">
      <c r="E421" s="101"/>
    </row>
    <row r="422" spans="5:5">
      <c r="E422" s="101"/>
    </row>
    <row r="423" spans="5:5">
      <c r="E423" s="101"/>
    </row>
    <row r="424" spans="5:5">
      <c r="E424" s="101"/>
    </row>
    <row r="425" spans="5:5">
      <c r="E425" s="101"/>
    </row>
    <row r="426" spans="5:5">
      <c r="E426" s="101"/>
    </row>
    <row r="427" spans="5:5">
      <c r="E427" s="101"/>
    </row>
    <row r="428" spans="5:5">
      <c r="E428" s="101"/>
    </row>
    <row r="429" spans="5:5">
      <c r="E429" s="101"/>
    </row>
    <row r="430" spans="5:5">
      <c r="E430" s="101"/>
    </row>
    <row r="431" spans="5:5">
      <c r="E431" s="101"/>
    </row>
    <row r="432" spans="5:5">
      <c r="E432" s="101"/>
    </row>
    <row r="433" spans="5:5">
      <c r="E433" s="101"/>
    </row>
    <row r="434" spans="5:5">
      <c r="E434" s="101"/>
    </row>
    <row r="435" spans="5:5">
      <c r="E435" s="101"/>
    </row>
    <row r="436" spans="5:5">
      <c r="E436" s="101"/>
    </row>
    <row r="437" spans="5:5">
      <c r="E437" s="101"/>
    </row>
    <row r="438" spans="5:5">
      <c r="E438" s="101"/>
    </row>
    <row r="439" spans="5:5">
      <c r="E439" s="101"/>
    </row>
    <row r="440" spans="5:5">
      <c r="E440" s="101"/>
    </row>
    <row r="441" spans="5:5">
      <c r="E441" s="101"/>
    </row>
    <row r="442" spans="5:5">
      <c r="E442" s="101"/>
    </row>
    <row r="443" spans="5:5">
      <c r="E443" s="101"/>
    </row>
    <row r="444" spans="5:5">
      <c r="E444" s="101"/>
    </row>
    <row r="445" spans="5:5">
      <c r="E445" s="101"/>
    </row>
    <row r="446" spans="5:5">
      <c r="E446" s="101"/>
    </row>
    <row r="447" spans="5:5">
      <c r="E447" s="101"/>
    </row>
    <row r="448" spans="5:5">
      <c r="E448" s="101"/>
    </row>
    <row r="449" spans="5:5">
      <c r="E449" s="101"/>
    </row>
    <row r="450" spans="5:5">
      <c r="E450" s="101"/>
    </row>
    <row r="451" spans="5:5">
      <c r="E451" s="101"/>
    </row>
    <row r="452" spans="5:5">
      <c r="E452" s="101"/>
    </row>
    <row r="453" spans="5:5">
      <c r="E453" s="101"/>
    </row>
    <row r="454" spans="5:5">
      <c r="E454" s="101"/>
    </row>
    <row r="455" spans="5:5">
      <c r="E455" s="101"/>
    </row>
    <row r="456" spans="5:5">
      <c r="E456" s="101"/>
    </row>
    <row r="457" spans="5:5">
      <c r="E457" s="101"/>
    </row>
    <row r="458" spans="5:5">
      <c r="E458" s="101"/>
    </row>
    <row r="459" spans="5:5">
      <c r="E459" s="101"/>
    </row>
    <row r="460" spans="5:5">
      <c r="E460" s="101"/>
    </row>
    <row r="461" spans="5:5">
      <c r="E461" s="101"/>
    </row>
    <row r="462" spans="5:5">
      <c r="E462" s="101"/>
    </row>
    <row r="463" spans="5:5">
      <c r="E463" s="101"/>
    </row>
    <row r="464" spans="5:5">
      <c r="E464" s="101"/>
    </row>
    <row r="465" spans="5:5">
      <c r="E465" s="101"/>
    </row>
    <row r="466" spans="5:5">
      <c r="E466" s="101"/>
    </row>
    <row r="467" spans="5:5">
      <c r="E467" s="101"/>
    </row>
    <row r="468" spans="5:5">
      <c r="E468" s="101"/>
    </row>
    <row r="469" spans="5:5">
      <c r="E469" s="101"/>
    </row>
    <row r="470" spans="5:5">
      <c r="E470" s="101"/>
    </row>
    <row r="471" spans="5:5">
      <c r="E471" s="101"/>
    </row>
    <row r="472" spans="5:5">
      <c r="E472" s="101"/>
    </row>
    <row r="473" spans="5:5">
      <c r="E473" s="101"/>
    </row>
    <row r="474" spans="5:5">
      <c r="E474" s="101"/>
    </row>
    <row r="475" spans="5:5">
      <c r="E475" s="101"/>
    </row>
    <row r="476" spans="5:5">
      <c r="E476" s="101"/>
    </row>
    <row r="477" spans="5:5">
      <c r="E477" s="101"/>
    </row>
    <row r="478" spans="5:5">
      <c r="E478" s="101"/>
    </row>
    <row r="479" spans="5:5">
      <c r="E479" s="101"/>
    </row>
    <row r="480" spans="5:5">
      <c r="E480" s="101"/>
    </row>
    <row r="481" spans="5:5">
      <c r="E481" s="101"/>
    </row>
    <row r="482" spans="5:5">
      <c r="E482" s="101"/>
    </row>
    <row r="483" spans="5:5">
      <c r="E483" s="101"/>
    </row>
    <row r="484" spans="5:5">
      <c r="E484" s="101"/>
    </row>
    <row r="485" spans="5:5">
      <c r="E485" s="101"/>
    </row>
    <row r="486" spans="5:5">
      <c r="E486" s="101"/>
    </row>
    <row r="487" spans="5:5">
      <c r="E487" s="101"/>
    </row>
    <row r="488" spans="5:5">
      <c r="E488" s="101"/>
    </row>
    <row r="489" spans="5:5">
      <c r="E489" s="101"/>
    </row>
    <row r="490" spans="5:5">
      <c r="E490" s="101"/>
    </row>
    <row r="491" spans="5:5">
      <c r="E491" s="101"/>
    </row>
    <row r="492" spans="5:5">
      <c r="E492" s="101"/>
    </row>
    <row r="493" spans="5:5">
      <c r="E493" s="101"/>
    </row>
  </sheetData>
  <sheetProtection formatCells="0"/>
  <mergeCells count="2">
    <mergeCell ref="I3:J3"/>
    <mergeCell ref="K3:L3"/>
  </mergeCells>
  <printOptions horizontalCentered="1"/>
  <pageMargins left="0.25" right="0.25" top="0.25" bottom="0.5" header="0.25" footer="0.25"/>
  <pageSetup scale="80" orientation="landscape" r:id="rId1"/>
  <headerFooter alignWithMargins="0">
    <oddFooter>&amp;LFarley-Jamieson Inc.
Printed on: &amp;D @ &amp;T&amp;CPage &amp;P of &amp;N&amp;RSheet Name: &amp;A
File Name: &amp;F</oddFooter>
  </headerFooter>
  <rowBreaks count="5" manualBreakCount="5">
    <brk id="24" max="16383" man="1"/>
    <brk id="51" max="16383" man="1"/>
    <brk id="70" max="16383" man="1"/>
    <brk id="98" max="16383" man="1"/>
    <brk id="13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47982-8C6B-4DA2-B174-30143C362F03}">
  <dimension ref="A1:P493"/>
  <sheetViews>
    <sheetView showGridLines="0" topLeftCell="D1" zoomScale="70" zoomScaleNormal="70" zoomScaleSheetLayoutView="90" workbookViewId="0">
      <pane ySplit="5" topLeftCell="A6" activePane="bottomLeft" state="frozen"/>
      <selection activeCell="K479" sqref="K479"/>
      <selection pane="bottomLeft" activeCell="J30" sqref="E30:J34"/>
    </sheetView>
  </sheetViews>
  <sheetFormatPr defaultColWidth="0" defaultRowHeight="13"/>
  <cols>
    <col min="1" max="1" width="2.54296875" style="2" customWidth="1"/>
    <col min="2" max="3" width="1.81640625" style="2" customWidth="1"/>
    <col min="4" max="4" width="50.08984375" style="2" customWidth="1"/>
    <col min="5" max="5" width="8.6328125" style="2" customWidth="1"/>
    <col min="6" max="6" width="12.7265625" style="2" customWidth="1"/>
    <col min="7" max="8" width="1.81640625" style="2" customWidth="1"/>
    <col min="9" max="11" width="12.7265625" style="2" customWidth="1"/>
    <col min="12" max="16" width="10.90625" style="2" bestFit="1" customWidth="1"/>
    <col min="17" max="16384" width="9.26953125" style="2" hidden="1"/>
  </cols>
  <sheetData>
    <row r="1" spans="2:16" s="75" customFormat="1"/>
    <row r="2" spans="2:16" s="75" customFormat="1" ht="18.5">
      <c r="B2" s="76" t="s">
        <v>67</v>
      </c>
      <c r="I2" s="77" t="str">
        <f>"Financial Model: "&amp;L5&amp;" to "&amp;P5</f>
        <v>Financial Model: 2024 to 2028</v>
      </c>
    </row>
    <row r="3" spans="2:16" s="75" customFormat="1">
      <c r="B3" s="77" t="s">
        <v>96</v>
      </c>
      <c r="I3" s="167" t="str">
        <f>IF(BS_Check=0,"BS Check: OK","BS Check: Error")</f>
        <v>BS Check: OK</v>
      </c>
      <c r="J3" s="168"/>
      <c r="K3" s="169" t="str">
        <f>Scenario_Used</f>
        <v>Scenario: Base Case</v>
      </c>
      <c r="L3" s="169"/>
    </row>
    <row r="4" spans="2:16">
      <c r="I4" s="78" t="s">
        <v>73</v>
      </c>
      <c r="J4" s="78" t="s">
        <v>73</v>
      </c>
      <c r="K4" s="78" t="s">
        <v>73</v>
      </c>
      <c r="L4" s="78" t="s">
        <v>74</v>
      </c>
      <c r="M4" s="78" t="s">
        <v>74</v>
      </c>
      <c r="N4" s="78" t="s">
        <v>74</v>
      </c>
      <c r="O4" s="78" t="s">
        <v>74</v>
      </c>
      <c r="P4" s="78" t="s">
        <v>74</v>
      </c>
    </row>
    <row r="5" spans="2:16">
      <c r="E5" s="2" t="s">
        <v>71</v>
      </c>
      <c r="F5" s="2" t="s">
        <v>72</v>
      </c>
      <c r="I5" s="79">
        <v>2021</v>
      </c>
      <c r="J5" s="79">
        <f>I5+1</f>
        <v>2022</v>
      </c>
      <c r="K5" s="79">
        <f t="shared" ref="K5:P5" si="0">J5+1</f>
        <v>2023</v>
      </c>
      <c r="L5" s="80">
        <f t="shared" si="0"/>
        <v>2024</v>
      </c>
      <c r="M5" s="80">
        <f t="shared" si="0"/>
        <v>2025</v>
      </c>
      <c r="N5" s="80">
        <f t="shared" si="0"/>
        <v>2026</v>
      </c>
      <c r="O5" s="80">
        <f t="shared" si="0"/>
        <v>2027</v>
      </c>
      <c r="P5" s="80">
        <f t="shared" si="0"/>
        <v>2028</v>
      </c>
    </row>
    <row r="6" spans="2:16">
      <c r="E6" s="101"/>
    </row>
    <row r="7" spans="2:16">
      <c r="D7" s="102" t="str" cm="1">
        <f t="array" ref="D7">"Scenario: "&amp;INDEX(L_Scenarios,S_Scenarios)</f>
        <v>Scenario: Base Case</v>
      </c>
      <c r="E7" s="101">
        <v>1</v>
      </c>
    </row>
    <row r="8" spans="2:16">
      <c r="D8" s="103" t="s">
        <v>97</v>
      </c>
      <c r="E8" s="101"/>
    </row>
    <row r="9" spans="2:16">
      <c r="D9" s="103" t="s">
        <v>98</v>
      </c>
      <c r="E9" s="101"/>
    </row>
    <row r="10" spans="2:16">
      <c r="D10" s="104" t="s">
        <v>99</v>
      </c>
      <c r="E10" s="101"/>
    </row>
    <row r="11" spans="2:16">
      <c r="E11" s="101"/>
    </row>
    <row r="12" spans="2:16">
      <c r="E12" s="101"/>
    </row>
    <row r="13" spans="2:16">
      <c r="E13" s="101"/>
    </row>
    <row r="14" spans="2:16">
      <c r="E14" s="101"/>
    </row>
    <row r="15" spans="2:16">
      <c r="E15" s="101"/>
    </row>
    <row r="16" spans="2:16" ht="20" thickBot="1">
      <c r="B16" s="97" t="s">
        <v>100</v>
      </c>
      <c r="C16" s="97"/>
      <c r="D16" s="97"/>
      <c r="E16" s="14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</row>
    <row r="17" spans="2:16" ht="13.5" thickTop="1">
      <c r="E17" s="101"/>
    </row>
    <row r="18" spans="2:16">
      <c r="D18" s="9" t="s">
        <v>101</v>
      </c>
      <c r="E18" s="101" t="s">
        <v>106</v>
      </c>
      <c r="L18" s="39" cm="1">
        <f t="array" ref="L18">INDEX(L19:L21,S_Scenarios)</f>
        <v>2.5000000000000001E-2</v>
      </c>
      <c r="M18" s="39" cm="1">
        <f t="array" ref="M18">INDEX(M19:M21,S_Scenarios)</f>
        <v>2.5000000000000001E-2</v>
      </c>
      <c r="N18" s="39" cm="1">
        <f t="array" ref="N18">INDEX(N19:N21,S_Scenarios)</f>
        <v>2.5000000000000001E-2</v>
      </c>
      <c r="O18" s="39" cm="1">
        <f t="array" ref="O18">INDEX(O19:O21,S_Scenarios)</f>
        <v>2.5000000000000001E-2</v>
      </c>
      <c r="P18" s="39" cm="1">
        <f t="array" ref="P18">INDEX(P19:P21,S_Scenarios)</f>
        <v>2.5000000000000001E-2</v>
      </c>
    </row>
    <row r="19" spans="2:16">
      <c r="D19" s="2" t="str" cm="1">
        <f t="array" ref="D19:D21">L_Scenarios</f>
        <v>Base Case</v>
      </c>
      <c r="E19" s="101" t="s">
        <v>106</v>
      </c>
      <c r="L19" s="105">
        <v>2.5000000000000001E-2</v>
      </c>
      <c r="M19" s="105">
        <v>2.5000000000000001E-2</v>
      </c>
      <c r="N19" s="105">
        <v>2.5000000000000001E-2</v>
      </c>
      <c r="O19" s="105">
        <v>2.5000000000000001E-2</v>
      </c>
      <c r="P19" s="105">
        <v>2.5000000000000001E-2</v>
      </c>
    </row>
    <row r="20" spans="2:16">
      <c r="D20" s="2" t="str">
        <v>Best Case</v>
      </c>
      <c r="E20" s="101" t="s">
        <v>106</v>
      </c>
      <c r="L20" s="105">
        <v>3.5000000000000003E-2</v>
      </c>
      <c r="M20" s="105">
        <v>3.5000000000000003E-2</v>
      </c>
      <c r="N20" s="105">
        <v>3.5000000000000003E-2</v>
      </c>
      <c r="O20" s="105">
        <v>3.5000000000000003E-2</v>
      </c>
      <c r="P20" s="105">
        <v>3.5000000000000003E-2</v>
      </c>
    </row>
    <row r="21" spans="2:16">
      <c r="D21" s="2" t="str">
        <v>Worst Case</v>
      </c>
      <c r="E21" s="101" t="s">
        <v>106</v>
      </c>
      <c r="L21" s="105">
        <v>1.4999999999999999E-2</v>
      </c>
      <c r="M21" s="105">
        <v>1.4999999999999999E-2</v>
      </c>
      <c r="N21" s="105">
        <v>1.4999999999999999E-2</v>
      </c>
      <c r="O21" s="105">
        <v>1.4999999999999999E-2</v>
      </c>
      <c r="P21" s="105">
        <v>1.4999999999999999E-2</v>
      </c>
    </row>
    <row r="22" spans="2:16">
      <c r="E22" s="101"/>
    </row>
    <row r="23" spans="2:16">
      <c r="E23" s="101"/>
    </row>
    <row r="24" spans="2:16">
      <c r="E24" s="101"/>
    </row>
    <row r="25" spans="2:16" ht="20" thickBot="1">
      <c r="B25" s="97" t="s">
        <v>102</v>
      </c>
      <c r="C25" s="97"/>
      <c r="D25" s="97"/>
      <c r="E25" s="14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</row>
    <row r="26" spans="2:16" ht="13.5" thickTop="1">
      <c r="E26" s="101"/>
    </row>
    <row r="27" spans="2:16">
      <c r="D27" s="9" t="s">
        <v>101</v>
      </c>
      <c r="E27" s="101" t="s">
        <v>106</v>
      </c>
      <c r="L27" s="39" cm="1">
        <f t="array" ref="L27">INDEX(L28:L30,S_Scenarios)</f>
        <v>0.03</v>
      </c>
      <c r="M27" s="39" cm="1">
        <f t="array" ref="M27">INDEX(M28:M30,S_Scenarios)</f>
        <v>0.03</v>
      </c>
      <c r="N27" s="39" cm="1">
        <f t="array" ref="N27">INDEX(N28:N30,S_Scenarios)</f>
        <v>0.03</v>
      </c>
      <c r="O27" s="39" cm="1">
        <f t="array" ref="O27">INDEX(O28:O30,S_Scenarios)</f>
        <v>0.03</v>
      </c>
      <c r="P27" s="39" cm="1">
        <f t="array" ref="P27">INDEX(P28:P30,S_Scenarios)</f>
        <v>0.03</v>
      </c>
    </row>
    <row r="28" spans="2:16">
      <c r="D28" s="2" t="str" cm="1">
        <f t="array" ref="D28:D30">L_Scenarios</f>
        <v>Base Case</v>
      </c>
      <c r="E28" s="101" t="s">
        <v>106</v>
      </c>
      <c r="L28" s="105">
        <v>0.03</v>
      </c>
      <c r="M28" s="105">
        <v>0.03</v>
      </c>
      <c r="N28" s="105">
        <v>0.03</v>
      </c>
      <c r="O28" s="105">
        <v>0.03</v>
      </c>
      <c r="P28" s="105">
        <v>0.03</v>
      </c>
    </row>
    <row r="29" spans="2:16">
      <c r="D29" s="2" t="str">
        <v>Best Case</v>
      </c>
      <c r="E29" s="101" t="s">
        <v>106</v>
      </c>
      <c r="L29" s="105">
        <v>0.02</v>
      </c>
      <c r="M29" s="105">
        <v>0.02</v>
      </c>
      <c r="N29" s="105">
        <v>0.02</v>
      </c>
      <c r="O29" s="105">
        <v>0.02</v>
      </c>
      <c r="P29" s="105">
        <v>0.02</v>
      </c>
    </row>
    <row r="30" spans="2:16">
      <c r="D30" s="2" t="str">
        <v>Worst Case</v>
      </c>
      <c r="E30" s="101" t="s">
        <v>106</v>
      </c>
      <c r="L30" s="105">
        <v>0.04</v>
      </c>
      <c r="M30" s="105">
        <v>0.04</v>
      </c>
      <c r="N30" s="105">
        <v>0.04</v>
      </c>
      <c r="O30" s="105">
        <v>0.04</v>
      </c>
      <c r="P30" s="105">
        <v>0.04</v>
      </c>
    </row>
    <row r="31" spans="2:16">
      <c r="E31" s="101"/>
    </row>
    <row r="32" spans="2:16">
      <c r="E32" s="101"/>
    </row>
    <row r="33" spans="2:16" ht="20" thickBot="1">
      <c r="B33" s="97" t="s">
        <v>103</v>
      </c>
      <c r="C33" s="97"/>
      <c r="D33" s="97"/>
      <c r="E33" s="14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</row>
    <row r="34" spans="2:16" ht="13.5" thickTop="1">
      <c r="E34" s="101"/>
    </row>
    <row r="35" spans="2:16">
      <c r="D35" s="9" t="s">
        <v>101</v>
      </c>
      <c r="E35" s="101" t="s">
        <v>105</v>
      </c>
      <c r="L35" s="2" cm="1">
        <f t="array" ref="L35">INDEX(L36:L38,S_Scenarios)</f>
        <v>35000</v>
      </c>
      <c r="M35" s="2" cm="1">
        <f t="array" ref="M35">INDEX(M36:M38,S_Scenarios)</f>
        <v>35500</v>
      </c>
      <c r="N35" s="2" cm="1">
        <f t="array" ref="N35">INDEX(N36:N38,S_Scenarios)</f>
        <v>36000</v>
      </c>
      <c r="O35" s="2" cm="1">
        <f t="array" ref="O35">INDEX(O36:O38,S_Scenarios)</f>
        <v>36500</v>
      </c>
      <c r="P35" s="2" cm="1">
        <f t="array" ref="P35">INDEX(P36:P38,S_Scenarios)</f>
        <v>37000</v>
      </c>
    </row>
    <row r="36" spans="2:16">
      <c r="D36" s="2" t="str" cm="1">
        <f t="array" ref="D36:D38">L_Scenarios</f>
        <v>Base Case</v>
      </c>
      <c r="E36" s="101" t="s">
        <v>105</v>
      </c>
      <c r="L36" s="106">
        <v>35000</v>
      </c>
      <c r="M36" s="106">
        <v>35500</v>
      </c>
      <c r="N36" s="106">
        <v>36000</v>
      </c>
      <c r="O36" s="106">
        <v>36500</v>
      </c>
      <c r="P36" s="106">
        <v>37000</v>
      </c>
    </row>
    <row r="37" spans="2:16">
      <c r="D37" s="2" t="str">
        <v>Best Case</v>
      </c>
      <c r="E37" s="101" t="s">
        <v>105</v>
      </c>
      <c r="K37" s="39"/>
      <c r="L37" s="106">
        <v>38500</v>
      </c>
      <c r="M37" s="106">
        <v>39050</v>
      </c>
      <c r="N37" s="106">
        <v>39600</v>
      </c>
      <c r="O37" s="106">
        <v>40150</v>
      </c>
      <c r="P37" s="106">
        <v>40700</v>
      </c>
    </row>
    <row r="38" spans="2:16">
      <c r="D38" s="2" t="str">
        <v>Worst Case</v>
      </c>
      <c r="E38" s="101" t="s">
        <v>105</v>
      </c>
      <c r="K38" s="39"/>
      <c r="L38" s="106">
        <v>33250</v>
      </c>
      <c r="M38" s="106">
        <v>33725</v>
      </c>
      <c r="N38" s="106">
        <v>34200</v>
      </c>
      <c r="O38" s="106">
        <v>34675</v>
      </c>
      <c r="P38" s="106">
        <v>35150</v>
      </c>
    </row>
    <row r="39" spans="2:16">
      <c r="E39" s="101"/>
    </row>
    <row r="40" spans="2:16">
      <c r="E40" s="101"/>
    </row>
    <row r="41" spans="2:16">
      <c r="E41" s="101"/>
    </row>
    <row r="42" spans="2:16">
      <c r="E42" s="101"/>
    </row>
    <row r="43" spans="2:16">
      <c r="E43" s="101"/>
    </row>
    <row r="44" spans="2:16">
      <c r="E44" s="101"/>
    </row>
    <row r="45" spans="2:16">
      <c r="E45" s="101"/>
    </row>
    <row r="46" spans="2:16">
      <c r="E46" s="101"/>
    </row>
    <row r="47" spans="2:16">
      <c r="E47" s="101"/>
    </row>
    <row r="48" spans="2:16">
      <c r="E48" s="101"/>
    </row>
    <row r="49" spans="5:5">
      <c r="E49" s="101"/>
    </row>
    <row r="50" spans="5:5">
      <c r="E50" s="101"/>
    </row>
    <row r="51" spans="5:5">
      <c r="E51" s="101"/>
    </row>
    <row r="52" spans="5:5">
      <c r="E52" s="101"/>
    </row>
    <row r="53" spans="5:5">
      <c r="E53" s="101"/>
    </row>
    <row r="54" spans="5:5">
      <c r="E54" s="101"/>
    </row>
    <row r="55" spans="5:5">
      <c r="E55" s="101"/>
    </row>
    <row r="56" spans="5:5">
      <c r="E56" s="101"/>
    </row>
    <row r="57" spans="5:5">
      <c r="E57" s="101"/>
    </row>
    <row r="58" spans="5:5">
      <c r="E58" s="101"/>
    </row>
    <row r="59" spans="5:5">
      <c r="E59" s="101"/>
    </row>
    <row r="60" spans="5:5">
      <c r="E60" s="101"/>
    </row>
    <row r="61" spans="5:5">
      <c r="E61" s="101"/>
    </row>
    <row r="62" spans="5:5">
      <c r="E62" s="101"/>
    </row>
    <row r="63" spans="5:5">
      <c r="E63" s="101"/>
    </row>
    <row r="64" spans="5:5">
      <c r="E64" s="101"/>
    </row>
    <row r="65" spans="5:5">
      <c r="E65" s="101"/>
    </row>
    <row r="66" spans="5:5">
      <c r="E66" s="101"/>
    </row>
    <row r="67" spans="5:5">
      <c r="E67" s="101"/>
    </row>
    <row r="68" spans="5:5">
      <c r="E68" s="101"/>
    </row>
    <row r="69" spans="5:5">
      <c r="E69" s="101"/>
    </row>
    <row r="70" spans="5:5">
      <c r="E70" s="101"/>
    </row>
    <row r="71" spans="5:5">
      <c r="E71" s="101"/>
    </row>
    <row r="72" spans="5:5">
      <c r="E72" s="101"/>
    </row>
    <row r="73" spans="5:5">
      <c r="E73" s="101"/>
    </row>
    <row r="74" spans="5:5">
      <c r="E74" s="101"/>
    </row>
    <row r="75" spans="5:5">
      <c r="E75" s="101"/>
    </row>
    <row r="76" spans="5:5">
      <c r="E76" s="101"/>
    </row>
    <row r="77" spans="5:5">
      <c r="E77" s="101"/>
    </row>
    <row r="78" spans="5:5">
      <c r="E78" s="101"/>
    </row>
    <row r="79" spans="5:5">
      <c r="E79" s="101"/>
    </row>
    <row r="80" spans="5:5">
      <c r="E80" s="101"/>
    </row>
    <row r="81" spans="5:5">
      <c r="E81" s="101"/>
    </row>
    <row r="82" spans="5:5">
      <c r="E82" s="101"/>
    </row>
    <row r="83" spans="5:5">
      <c r="E83" s="101"/>
    </row>
    <row r="84" spans="5:5">
      <c r="E84" s="101"/>
    </row>
    <row r="85" spans="5:5">
      <c r="E85" s="101"/>
    </row>
    <row r="86" spans="5:5">
      <c r="E86" s="101"/>
    </row>
    <row r="87" spans="5:5">
      <c r="E87" s="101"/>
    </row>
    <row r="88" spans="5:5">
      <c r="E88" s="101"/>
    </row>
    <row r="89" spans="5:5">
      <c r="E89" s="101"/>
    </row>
    <row r="90" spans="5:5">
      <c r="E90" s="101"/>
    </row>
    <row r="91" spans="5:5">
      <c r="E91" s="101"/>
    </row>
    <row r="92" spans="5:5">
      <c r="E92" s="101"/>
    </row>
    <row r="93" spans="5:5">
      <c r="E93" s="101"/>
    </row>
    <row r="94" spans="5:5">
      <c r="E94" s="101"/>
    </row>
    <row r="95" spans="5:5">
      <c r="E95" s="101"/>
    </row>
    <row r="96" spans="5:5">
      <c r="E96" s="101"/>
    </row>
    <row r="97" spans="5:5">
      <c r="E97" s="101"/>
    </row>
    <row r="98" spans="5:5">
      <c r="E98" s="101"/>
    </row>
    <row r="99" spans="5:5">
      <c r="E99" s="101"/>
    </row>
    <row r="100" spans="5:5">
      <c r="E100" s="101"/>
    </row>
    <row r="101" spans="5:5">
      <c r="E101" s="101"/>
    </row>
    <row r="102" spans="5:5">
      <c r="E102" s="101"/>
    </row>
    <row r="103" spans="5:5">
      <c r="E103" s="101"/>
    </row>
    <row r="104" spans="5:5">
      <c r="E104" s="101"/>
    </row>
    <row r="105" spans="5:5">
      <c r="E105" s="101"/>
    </row>
    <row r="106" spans="5:5">
      <c r="E106" s="101"/>
    </row>
    <row r="107" spans="5:5">
      <c r="E107" s="101"/>
    </row>
    <row r="108" spans="5:5">
      <c r="E108" s="101"/>
    </row>
    <row r="109" spans="5:5">
      <c r="E109" s="101"/>
    </row>
    <row r="110" spans="5:5">
      <c r="E110" s="101"/>
    </row>
    <row r="111" spans="5:5">
      <c r="E111" s="101"/>
    </row>
    <row r="112" spans="5:5">
      <c r="E112" s="101"/>
    </row>
    <row r="113" spans="5:5">
      <c r="E113" s="101"/>
    </row>
    <row r="114" spans="5:5">
      <c r="E114" s="101"/>
    </row>
    <row r="115" spans="5:5">
      <c r="E115" s="101"/>
    </row>
    <row r="116" spans="5:5">
      <c r="E116" s="101"/>
    </row>
    <row r="117" spans="5:5">
      <c r="E117" s="101"/>
    </row>
    <row r="118" spans="5:5">
      <c r="E118" s="101"/>
    </row>
    <row r="119" spans="5:5">
      <c r="E119" s="101"/>
    </row>
    <row r="120" spans="5:5">
      <c r="E120" s="101"/>
    </row>
    <row r="121" spans="5:5">
      <c r="E121" s="101"/>
    </row>
    <row r="122" spans="5:5">
      <c r="E122" s="101"/>
    </row>
    <row r="123" spans="5:5">
      <c r="E123" s="101"/>
    </row>
    <row r="124" spans="5:5">
      <c r="E124" s="101"/>
    </row>
    <row r="125" spans="5:5">
      <c r="E125" s="101"/>
    </row>
    <row r="126" spans="5:5">
      <c r="E126" s="101"/>
    </row>
    <row r="127" spans="5:5">
      <c r="E127" s="101"/>
    </row>
    <row r="128" spans="5:5">
      <c r="E128" s="101"/>
    </row>
    <row r="129" spans="5:5">
      <c r="E129" s="101"/>
    </row>
    <row r="130" spans="5:5">
      <c r="E130" s="101"/>
    </row>
    <row r="131" spans="5:5">
      <c r="E131" s="101"/>
    </row>
    <row r="132" spans="5:5">
      <c r="E132" s="101"/>
    </row>
    <row r="133" spans="5:5">
      <c r="E133" s="101"/>
    </row>
    <row r="134" spans="5:5">
      <c r="E134" s="101"/>
    </row>
    <row r="135" spans="5:5">
      <c r="E135" s="101"/>
    </row>
    <row r="136" spans="5:5">
      <c r="E136" s="101"/>
    </row>
    <row r="137" spans="5:5">
      <c r="E137" s="101"/>
    </row>
    <row r="138" spans="5:5">
      <c r="E138" s="101"/>
    </row>
    <row r="139" spans="5:5">
      <c r="E139" s="101"/>
    </row>
    <row r="140" spans="5:5">
      <c r="E140" s="101"/>
    </row>
    <row r="141" spans="5:5">
      <c r="E141" s="101"/>
    </row>
    <row r="142" spans="5:5">
      <c r="E142" s="101"/>
    </row>
    <row r="143" spans="5:5">
      <c r="E143" s="101"/>
    </row>
    <row r="144" spans="5:5">
      <c r="E144" s="101"/>
    </row>
    <row r="145" spans="5:5">
      <c r="E145" s="101"/>
    </row>
    <row r="146" spans="5:5">
      <c r="E146" s="101"/>
    </row>
    <row r="147" spans="5:5">
      <c r="E147" s="101"/>
    </row>
    <row r="148" spans="5:5">
      <c r="E148" s="101"/>
    </row>
    <row r="149" spans="5:5">
      <c r="E149" s="101"/>
    </row>
    <row r="150" spans="5:5">
      <c r="E150" s="101"/>
    </row>
    <row r="151" spans="5:5">
      <c r="E151" s="101"/>
    </row>
    <row r="152" spans="5:5">
      <c r="E152" s="101"/>
    </row>
    <row r="153" spans="5:5">
      <c r="E153" s="101"/>
    </row>
    <row r="154" spans="5:5">
      <c r="E154" s="101"/>
    </row>
    <row r="155" spans="5:5">
      <c r="E155" s="101"/>
    </row>
    <row r="156" spans="5:5">
      <c r="E156" s="101"/>
    </row>
    <row r="157" spans="5:5">
      <c r="E157" s="101"/>
    </row>
    <row r="158" spans="5:5">
      <c r="E158" s="101"/>
    </row>
    <row r="159" spans="5:5">
      <c r="E159" s="101"/>
    </row>
    <row r="160" spans="5:5">
      <c r="E160" s="101"/>
    </row>
    <row r="161" spans="5:5">
      <c r="E161" s="101"/>
    </row>
    <row r="162" spans="5:5">
      <c r="E162" s="101"/>
    </row>
    <row r="163" spans="5:5">
      <c r="E163" s="101"/>
    </row>
    <row r="164" spans="5:5">
      <c r="E164" s="101"/>
    </row>
    <row r="165" spans="5:5">
      <c r="E165" s="101"/>
    </row>
    <row r="166" spans="5:5">
      <c r="E166" s="101"/>
    </row>
    <row r="167" spans="5:5">
      <c r="E167" s="101"/>
    </row>
    <row r="168" spans="5:5">
      <c r="E168" s="101"/>
    </row>
    <row r="169" spans="5:5">
      <c r="E169" s="101"/>
    </row>
    <row r="170" spans="5:5">
      <c r="E170" s="101"/>
    </row>
    <row r="171" spans="5:5">
      <c r="E171" s="101"/>
    </row>
    <row r="172" spans="5:5">
      <c r="E172" s="101"/>
    </row>
    <row r="173" spans="5:5">
      <c r="E173" s="101"/>
    </row>
    <row r="174" spans="5:5">
      <c r="E174" s="101"/>
    </row>
    <row r="175" spans="5:5">
      <c r="E175" s="101"/>
    </row>
    <row r="176" spans="5:5">
      <c r="E176" s="101"/>
    </row>
    <row r="177" spans="5:5">
      <c r="E177" s="101"/>
    </row>
    <row r="178" spans="5:5">
      <c r="E178" s="101"/>
    </row>
    <row r="179" spans="5:5">
      <c r="E179" s="101"/>
    </row>
    <row r="180" spans="5:5">
      <c r="E180" s="101"/>
    </row>
    <row r="181" spans="5:5">
      <c r="E181" s="101"/>
    </row>
    <row r="182" spans="5:5">
      <c r="E182" s="101"/>
    </row>
    <row r="183" spans="5:5">
      <c r="E183" s="101"/>
    </row>
    <row r="184" spans="5:5">
      <c r="E184" s="101"/>
    </row>
    <row r="185" spans="5:5">
      <c r="E185" s="101"/>
    </row>
    <row r="186" spans="5:5">
      <c r="E186" s="101"/>
    </row>
    <row r="187" spans="5:5">
      <c r="E187" s="101"/>
    </row>
    <row r="188" spans="5:5">
      <c r="E188" s="101"/>
    </row>
    <row r="189" spans="5:5">
      <c r="E189" s="101"/>
    </row>
    <row r="190" spans="5:5">
      <c r="E190" s="101"/>
    </row>
    <row r="191" spans="5:5">
      <c r="E191" s="101"/>
    </row>
    <row r="192" spans="5:5">
      <c r="E192" s="101"/>
    </row>
    <row r="193" spans="5:5">
      <c r="E193" s="101"/>
    </row>
    <row r="194" spans="5:5">
      <c r="E194" s="101"/>
    </row>
    <row r="195" spans="5:5">
      <c r="E195" s="101"/>
    </row>
    <row r="196" spans="5:5">
      <c r="E196" s="101"/>
    </row>
    <row r="197" spans="5:5">
      <c r="E197" s="101"/>
    </row>
    <row r="198" spans="5:5">
      <c r="E198" s="101"/>
    </row>
    <row r="199" spans="5:5">
      <c r="E199" s="101"/>
    </row>
    <row r="200" spans="5:5">
      <c r="E200" s="101"/>
    </row>
    <row r="201" spans="5:5">
      <c r="E201" s="101"/>
    </row>
    <row r="202" spans="5:5">
      <c r="E202" s="101"/>
    </row>
    <row r="203" spans="5:5">
      <c r="E203" s="101"/>
    </row>
    <row r="204" spans="5:5">
      <c r="E204" s="101"/>
    </row>
    <row r="205" spans="5:5">
      <c r="E205" s="101"/>
    </row>
    <row r="206" spans="5:5">
      <c r="E206" s="101"/>
    </row>
    <row r="207" spans="5:5">
      <c r="E207" s="101"/>
    </row>
    <row r="208" spans="5:5">
      <c r="E208" s="101"/>
    </row>
    <row r="209" spans="5:5">
      <c r="E209" s="101"/>
    </row>
    <row r="210" spans="5:5">
      <c r="E210" s="101"/>
    </row>
    <row r="211" spans="5:5">
      <c r="E211" s="101"/>
    </row>
    <row r="212" spans="5:5">
      <c r="E212" s="101"/>
    </row>
    <row r="213" spans="5:5">
      <c r="E213" s="101"/>
    </row>
    <row r="214" spans="5:5">
      <c r="E214" s="101"/>
    </row>
    <row r="215" spans="5:5">
      <c r="E215" s="101"/>
    </row>
    <row r="216" spans="5:5">
      <c r="E216" s="101"/>
    </row>
    <row r="217" spans="5:5">
      <c r="E217" s="101"/>
    </row>
    <row r="218" spans="5:5">
      <c r="E218" s="101"/>
    </row>
    <row r="219" spans="5:5">
      <c r="E219" s="101"/>
    </row>
    <row r="220" spans="5:5">
      <c r="E220" s="101"/>
    </row>
    <row r="221" spans="5:5">
      <c r="E221" s="101"/>
    </row>
    <row r="222" spans="5:5">
      <c r="E222" s="101"/>
    </row>
    <row r="223" spans="5:5">
      <c r="E223" s="101"/>
    </row>
    <row r="224" spans="5:5">
      <c r="E224" s="101"/>
    </row>
    <row r="225" spans="5:5">
      <c r="E225" s="101"/>
    </row>
    <row r="226" spans="5:5">
      <c r="E226" s="101"/>
    </row>
    <row r="227" spans="5:5">
      <c r="E227" s="101"/>
    </row>
    <row r="228" spans="5:5">
      <c r="E228" s="101"/>
    </row>
    <row r="229" spans="5:5">
      <c r="E229" s="101"/>
    </row>
    <row r="230" spans="5:5">
      <c r="E230" s="101"/>
    </row>
    <row r="231" spans="5:5">
      <c r="E231" s="101"/>
    </row>
    <row r="232" spans="5:5">
      <c r="E232" s="101"/>
    </row>
    <row r="233" spans="5:5">
      <c r="E233" s="101"/>
    </row>
    <row r="234" spans="5:5">
      <c r="E234" s="101"/>
    </row>
    <row r="235" spans="5:5">
      <c r="E235" s="101"/>
    </row>
    <row r="236" spans="5:5">
      <c r="E236" s="101"/>
    </row>
    <row r="237" spans="5:5">
      <c r="E237" s="101"/>
    </row>
    <row r="238" spans="5:5">
      <c r="E238" s="101"/>
    </row>
    <row r="239" spans="5:5">
      <c r="E239" s="101"/>
    </row>
    <row r="240" spans="5:5">
      <c r="E240" s="101"/>
    </row>
    <row r="241" spans="5:5">
      <c r="E241" s="101"/>
    </row>
    <row r="242" spans="5:5">
      <c r="E242" s="101"/>
    </row>
    <row r="243" spans="5:5">
      <c r="E243" s="101"/>
    </row>
    <row r="244" spans="5:5">
      <c r="E244" s="101"/>
    </row>
    <row r="245" spans="5:5">
      <c r="E245" s="101"/>
    </row>
    <row r="246" spans="5:5">
      <c r="E246" s="101"/>
    </row>
    <row r="247" spans="5:5">
      <c r="E247" s="101"/>
    </row>
    <row r="248" spans="5:5">
      <c r="E248" s="101"/>
    </row>
    <row r="249" spans="5:5">
      <c r="E249" s="101"/>
    </row>
    <row r="250" spans="5:5">
      <c r="E250" s="101"/>
    </row>
    <row r="251" spans="5:5">
      <c r="E251" s="101"/>
    </row>
    <row r="252" spans="5:5">
      <c r="E252" s="101"/>
    </row>
    <row r="253" spans="5:5">
      <c r="E253" s="101"/>
    </row>
    <row r="254" spans="5:5">
      <c r="E254" s="101"/>
    </row>
    <row r="255" spans="5:5">
      <c r="E255" s="101"/>
    </row>
    <row r="256" spans="5:5">
      <c r="E256" s="101"/>
    </row>
    <row r="257" spans="5:5">
      <c r="E257" s="101"/>
    </row>
    <row r="258" spans="5:5">
      <c r="E258" s="101"/>
    </row>
    <row r="259" spans="5:5">
      <c r="E259" s="101"/>
    </row>
    <row r="260" spans="5:5">
      <c r="E260" s="101"/>
    </row>
    <row r="261" spans="5:5">
      <c r="E261" s="101"/>
    </row>
    <row r="262" spans="5:5">
      <c r="E262" s="101"/>
    </row>
    <row r="263" spans="5:5">
      <c r="E263" s="101"/>
    </row>
    <row r="264" spans="5:5">
      <c r="E264" s="101"/>
    </row>
    <row r="265" spans="5:5">
      <c r="E265" s="101"/>
    </row>
    <row r="266" spans="5:5">
      <c r="E266" s="101"/>
    </row>
    <row r="267" spans="5:5">
      <c r="E267" s="101"/>
    </row>
    <row r="268" spans="5:5">
      <c r="E268" s="101"/>
    </row>
    <row r="269" spans="5:5">
      <c r="E269" s="101"/>
    </row>
    <row r="270" spans="5:5">
      <c r="E270" s="101"/>
    </row>
    <row r="271" spans="5:5">
      <c r="E271" s="101"/>
    </row>
    <row r="272" spans="5:5">
      <c r="E272" s="101"/>
    </row>
    <row r="273" spans="5:5">
      <c r="E273" s="101"/>
    </row>
    <row r="274" spans="5:5">
      <c r="E274" s="101"/>
    </row>
    <row r="275" spans="5:5">
      <c r="E275" s="101"/>
    </row>
    <row r="276" spans="5:5">
      <c r="E276" s="101"/>
    </row>
    <row r="277" spans="5:5">
      <c r="E277" s="101"/>
    </row>
    <row r="278" spans="5:5">
      <c r="E278" s="101"/>
    </row>
    <row r="279" spans="5:5">
      <c r="E279" s="101"/>
    </row>
    <row r="280" spans="5:5">
      <c r="E280" s="101"/>
    </row>
    <row r="281" spans="5:5">
      <c r="E281" s="101"/>
    </row>
    <row r="282" spans="5:5">
      <c r="E282" s="101"/>
    </row>
    <row r="283" spans="5:5">
      <c r="E283" s="101"/>
    </row>
    <row r="284" spans="5:5">
      <c r="E284" s="101"/>
    </row>
    <row r="285" spans="5:5">
      <c r="E285" s="101"/>
    </row>
    <row r="286" spans="5:5">
      <c r="E286" s="101"/>
    </row>
    <row r="287" spans="5:5">
      <c r="E287" s="101"/>
    </row>
    <row r="288" spans="5:5">
      <c r="E288" s="101"/>
    </row>
    <row r="289" spans="5:5">
      <c r="E289" s="101"/>
    </row>
    <row r="290" spans="5:5">
      <c r="E290" s="101"/>
    </row>
    <row r="291" spans="5:5">
      <c r="E291" s="101"/>
    </row>
    <row r="292" spans="5:5">
      <c r="E292" s="101"/>
    </row>
    <row r="293" spans="5:5">
      <c r="E293" s="101"/>
    </row>
    <row r="294" spans="5:5">
      <c r="E294" s="101"/>
    </row>
    <row r="295" spans="5:5">
      <c r="E295" s="101"/>
    </row>
    <row r="296" spans="5:5">
      <c r="E296" s="101"/>
    </row>
    <row r="297" spans="5:5">
      <c r="E297" s="101"/>
    </row>
    <row r="298" spans="5:5">
      <c r="E298" s="101"/>
    </row>
    <row r="299" spans="5:5">
      <c r="E299" s="101"/>
    </row>
    <row r="300" spans="5:5">
      <c r="E300" s="101"/>
    </row>
    <row r="301" spans="5:5">
      <c r="E301" s="101"/>
    </row>
    <row r="302" spans="5:5">
      <c r="E302" s="101"/>
    </row>
    <row r="303" spans="5:5">
      <c r="E303" s="101"/>
    </row>
    <row r="304" spans="5:5">
      <c r="E304" s="101"/>
    </row>
    <row r="305" spans="5:5">
      <c r="E305" s="101"/>
    </row>
    <row r="306" spans="5:5">
      <c r="E306" s="101"/>
    </row>
    <row r="307" spans="5:5">
      <c r="E307" s="101"/>
    </row>
    <row r="308" spans="5:5">
      <c r="E308" s="101"/>
    </row>
    <row r="309" spans="5:5">
      <c r="E309" s="101"/>
    </row>
    <row r="310" spans="5:5">
      <c r="E310" s="101"/>
    </row>
    <row r="311" spans="5:5">
      <c r="E311" s="101"/>
    </row>
    <row r="312" spans="5:5">
      <c r="E312" s="101"/>
    </row>
    <row r="313" spans="5:5">
      <c r="E313" s="101"/>
    </row>
    <row r="314" spans="5:5">
      <c r="E314" s="101"/>
    </row>
    <row r="315" spans="5:5">
      <c r="E315" s="101"/>
    </row>
    <row r="316" spans="5:5">
      <c r="E316" s="101"/>
    </row>
    <row r="317" spans="5:5">
      <c r="E317" s="101"/>
    </row>
    <row r="318" spans="5:5">
      <c r="E318" s="101"/>
    </row>
    <row r="319" spans="5:5">
      <c r="E319" s="101"/>
    </row>
    <row r="320" spans="5:5">
      <c r="E320" s="101"/>
    </row>
    <row r="321" spans="5:5">
      <c r="E321" s="101"/>
    </row>
    <row r="322" spans="5:5">
      <c r="E322" s="101"/>
    </row>
    <row r="323" spans="5:5">
      <c r="E323" s="101"/>
    </row>
    <row r="324" spans="5:5">
      <c r="E324" s="101"/>
    </row>
    <row r="325" spans="5:5">
      <c r="E325" s="101"/>
    </row>
    <row r="326" spans="5:5">
      <c r="E326" s="101"/>
    </row>
    <row r="327" spans="5:5">
      <c r="E327" s="101"/>
    </row>
    <row r="328" spans="5:5">
      <c r="E328" s="101"/>
    </row>
    <row r="329" spans="5:5">
      <c r="E329" s="101"/>
    </row>
    <row r="330" spans="5:5">
      <c r="E330" s="101"/>
    </row>
    <row r="331" spans="5:5">
      <c r="E331" s="101"/>
    </row>
    <row r="332" spans="5:5">
      <c r="E332" s="101"/>
    </row>
    <row r="333" spans="5:5">
      <c r="E333" s="101"/>
    </row>
    <row r="334" spans="5:5">
      <c r="E334" s="101"/>
    </row>
    <row r="335" spans="5:5">
      <c r="E335" s="101"/>
    </row>
    <row r="336" spans="5:5">
      <c r="E336" s="101"/>
    </row>
    <row r="337" spans="5:5">
      <c r="E337" s="101"/>
    </row>
    <row r="338" spans="5:5">
      <c r="E338" s="101"/>
    </row>
    <row r="339" spans="5:5">
      <c r="E339" s="101"/>
    </row>
    <row r="340" spans="5:5">
      <c r="E340" s="101"/>
    </row>
    <row r="341" spans="5:5">
      <c r="E341" s="101"/>
    </row>
    <row r="342" spans="5:5">
      <c r="E342" s="101"/>
    </row>
    <row r="343" spans="5:5">
      <c r="E343" s="101"/>
    </row>
    <row r="344" spans="5:5">
      <c r="E344" s="101"/>
    </row>
    <row r="345" spans="5:5">
      <c r="E345" s="101"/>
    </row>
    <row r="346" spans="5:5">
      <c r="E346" s="101"/>
    </row>
    <row r="347" spans="5:5">
      <c r="E347" s="101"/>
    </row>
    <row r="348" spans="5:5">
      <c r="E348" s="101"/>
    </row>
    <row r="349" spans="5:5">
      <c r="E349" s="101"/>
    </row>
    <row r="350" spans="5:5">
      <c r="E350" s="101"/>
    </row>
    <row r="351" spans="5:5">
      <c r="E351" s="101"/>
    </row>
    <row r="352" spans="5:5">
      <c r="E352" s="101"/>
    </row>
    <row r="353" spans="5:5">
      <c r="E353" s="101"/>
    </row>
    <row r="354" spans="5:5">
      <c r="E354" s="101"/>
    </row>
    <row r="355" spans="5:5">
      <c r="E355" s="101"/>
    </row>
    <row r="356" spans="5:5">
      <c r="E356" s="101"/>
    </row>
    <row r="357" spans="5:5">
      <c r="E357" s="101"/>
    </row>
    <row r="358" spans="5:5">
      <c r="E358" s="101"/>
    </row>
    <row r="359" spans="5:5">
      <c r="E359" s="101"/>
    </row>
    <row r="360" spans="5:5">
      <c r="E360" s="101"/>
    </row>
    <row r="361" spans="5:5">
      <c r="E361" s="101"/>
    </row>
    <row r="362" spans="5:5">
      <c r="E362" s="101"/>
    </row>
    <row r="363" spans="5:5">
      <c r="E363" s="101"/>
    </row>
    <row r="364" spans="5:5">
      <c r="E364" s="101"/>
    </row>
    <row r="365" spans="5:5">
      <c r="E365" s="101"/>
    </row>
    <row r="366" spans="5:5">
      <c r="E366" s="101"/>
    </row>
    <row r="367" spans="5:5">
      <c r="E367" s="101"/>
    </row>
    <row r="368" spans="5:5">
      <c r="E368" s="101"/>
    </row>
    <row r="369" spans="5:5">
      <c r="E369" s="101"/>
    </row>
    <row r="370" spans="5:5">
      <c r="E370" s="101"/>
    </row>
    <row r="371" spans="5:5">
      <c r="E371" s="101"/>
    </row>
    <row r="372" spans="5:5">
      <c r="E372" s="101"/>
    </row>
    <row r="373" spans="5:5">
      <c r="E373" s="101"/>
    </row>
    <row r="374" spans="5:5">
      <c r="E374" s="101"/>
    </row>
    <row r="375" spans="5:5">
      <c r="E375" s="101"/>
    </row>
    <row r="376" spans="5:5">
      <c r="E376" s="101"/>
    </row>
    <row r="377" spans="5:5">
      <c r="E377" s="101"/>
    </row>
    <row r="378" spans="5:5">
      <c r="E378" s="101"/>
    </row>
    <row r="379" spans="5:5">
      <c r="E379" s="101"/>
    </row>
    <row r="380" spans="5:5">
      <c r="E380" s="101"/>
    </row>
    <row r="381" spans="5:5">
      <c r="E381" s="101"/>
    </row>
    <row r="382" spans="5:5">
      <c r="E382" s="101"/>
    </row>
    <row r="383" spans="5:5">
      <c r="E383" s="101"/>
    </row>
    <row r="384" spans="5:5">
      <c r="E384" s="101"/>
    </row>
    <row r="385" spans="5:5">
      <c r="E385" s="101"/>
    </row>
    <row r="386" spans="5:5">
      <c r="E386" s="101"/>
    </row>
    <row r="387" spans="5:5">
      <c r="E387" s="101"/>
    </row>
    <row r="388" spans="5:5">
      <c r="E388" s="101"/>
    </row>
    <row r="389" spans="5:5">
      <c r="E389" s="101"/>
    </row>
    <row r="390" spans="5:5">
      <c r="E390" s="101"/>
    </row>
    <row r="391" spans="5:5">
      <c r="E391" s="101"/>
    </row>
    <row r="392" spans="5:5">
      <c r="E392" s="101"/>
    </row>
    <row r="393" spans="5:5">
      <c r="E393" s="101"/>
    </row>
    <row r="394" spans="5:5">
      <c r="E394" s="101"/>
    </row>
    <row r="395" spans="5:5">
      <c r="E395" s="101"/>
    </row>
    <row r="396" spans="5:5">
      <c r="E396" s="101"/>
    </row>
    <row r="397" spans="5:5">
      <c r="E397" s="101"/>
    </row>
    <row r="398" spans="5:5">
      <c r="E398" s="101"/>
    </row>
    <row r="399" spans="5:5">
      <c r="E399" s="101"/>
    </row>
    <row r="400" spans="5:5">
      <c r="E400" s="101"/>
    </row>
    <row r="401" spans="5:5">
      <c r="E401" s="101"/>
    </row>
    <row r="402" spans="5:5">
      <c r="E402" s="101"/>
    </row>
    <row r="403" spans="5:5">
      <c r="E403" s="101"/>
    </row>
    <row r="404" spans="5:5">
      <c r="E404" s="101"/>
    </row>
    <row r="405" spans="5:5">
      <c r="E405" s="101"/>
    </row>
    <row r="406" spans="5:5">
      <c r="E406" s="101"/>
    </row>
    <row r="407" spans="5:5">
      <c r="E407" s="101"/>
    </row>
    <row r="408" spans="5:5">
      <c r="E408" s="101"/>
    </row>
    <row r="409" spans="5:5">
      <c r="E409" s="101"/>
    </row>
    <row r="410" spans="5:5">
      <c r="E410" s="101"/>
    </row>
    <row r="411" spans="5:5">
      <c r="E411" s="101"/>
    </row>
    <row r="412" spans="5:5">
      <c r="E412" s="101"/>
    </row>
    <row r="413" spans="5:5">
      <c r="E413" s="101"/>
    </row>
    <row r="414" spans="5:5">
      <c r="E414" s="101"/>
    </row>
    <row r="415" spans="5:5">
      <c r="E415" s="101"/>
    </row>
    <row r="416" spans="5:5">
      <c r="E416" s="101"/>
    </row>
    <row r="417" spans="5:5">
      <c r="E417" s="101"/>
    </row>
    <row r="418" spans="5:5">
      <c r="E418" s="101"/>
    </row>
    <row r="419" spans="5:5">
      <c r="E419" s="101"/>
    </row>
    <row r="420" spans="5:5">
      <c r="E420" s="101"/>
    </row>
    <row r="421" spans="5:5">
      <c r="E421" s="101"/>
    </row>
    <row r="422" spans="5:5">
      <c r="E422" s="101"/>
    </row>
    <row r="423" spans="5:5">
      <c r="E423" s="101"/>
    </row>
    <row r="424" spans="5:5">
      <c r="E424" s="101"/>
    </row>
    <row r="425" spans="5:5">
      <c r="E425" s="101"/>
    </row>
    <row r="426" spans="5:5">
      <c r="E426" s="101"/>
    </row>
    <row r="427" spans="5:5">
      <c r="E427" s="101"/>
    </row>
    <row r="428" spans="5:5">
      <c r="E428" s="101"/>
    </row>
    <row r="429" spans="5:5">
      <c r="E429" s="101"/>
    </row>
    <row r="430" spans="5:5">
      <c r="E430" s="101"/>
    </row>
    <row r="431" spans="5:5">
      <c r="E431" s="101"/>
    </row>
    <row r="432" spans="5:5">
      <c r="E432" s="101"/>
    </row>
    <row r="433" spans="5:5">
      <c r="E433" s="101"/>
    </row>
    <row r="434" spans="5:5">
      <c r="E434" s="101"/>
    </row>
    <row r="435" spans="5:5">
      <c r="E435" s="101"/>
    </row>
    <row r="436" spans="5:5">
      <c r="E436" s="101"/>
    </row>
    <row r="437" spans="5:5">
      <c r="E437" s="101"/>
    </row>
    <row r="438" spans="5:5">
      <c r="E438" s="101"/>
    </row>
    <row r="439" spans="5:5">
      <c r="E439" s="101"/>
    </row>
    <row r="440" spans="5:5">
      <c r="E440" s="101"/>
    </row>
    <row r="441" spans="5:5">
      <c r="E441" s="101"/>
    </row>
    <row r="442" spans="5:5">
      <c r="E442" s="101"/>
    </row>
    <row r="443" spans="5:5">
      <c r="E443" s="101"/>
    </row>
    <row r="444" spans="5:5">
      <c r="E444" s="101"/>
    </row>
    <row r="445" spans="5:5">
      <c r="E445" s="101"/>
    </row>
    <row r="446" spans="5:5">
      <c r="E446" s="101"/>
    </row>
    <row r="447" spans="5:5">
      <c r="E447" s="101"/>
    </row>
    <row r="448" spans="5:5">
      <c r="E448" s="101"/>
    </row>
    <row r="449" spans="5:5">
      <c r="E449" s="101"/>
    </row>
    <row r="450" spans="5:5">
      <c r="E450" s="101"/>
    </row>
    <row r="451" spans="5:5">
      <c r="E451" s="101"/>
    </row>
    <row r="452" spans="5:5">
      <c r="E452" s="101"/>
    </row>
    <row r="453" spans="5:5">
      <c r="E453" s="101"/>
    </row>
    <row r="454" spans="5:5">
      <c r="E454" s="101"/>
    </row>
    <row r="455" spans="5:5">
      <c r="E455" s="101"/>
    </row>
    <row r="456" spans="5:5">
      <c r="E456" s="101"/>
    </row>
    <row r="457" spans="5:5">
      <c r="E457" s="101"/>
    </row>
    <row r="458" spans="5:5">
      <c r="E458" s="101"/>
    </row>
    <row r="459" spans="5:5">
      <c r="E459" s="101"/>
    </row>
    <row r="460" spans="5:5">
      <c r="E460" s="101"/>
    </row>
    <row r="461" spans="5:5">
      <c r="E461" s="101"/>
    </row>
    <row r="462" spans="5:5">
      <c r="E462" s="101"/>
    </row>
    <row r="463" spans="5:5">
      <c r="E463" s="101"/>
    </row>
    <row r="464" spans="5:5">
      <c r="E464" s="101"/>
    </row>
    <row r="465" spans="5:5">
      <c r="E465" s="101"/>
    </row>
    <row r="466" spans="5:5">
      <c r="E466" s="101"/>
    </row>
    <row r="467" spans="5:5">
      <c r="E467" s="101"/>
    </row>
    <row r="468" spans="5:5">
      <c r="E468" s="101"/>
    </row>
    <row r="469" spans="5:5">
      <c r="E469" s="101"/>
    </row>
    <row r="470" spans="5:5">
      <c r="E470" s="101"/>
    </row>
    <row r="471" spans="5:5">
      <c r="E471" s="101"/>
    </row>
    <row r="472" spans="5:5">
      <c r="E472" s="101"/>
    </row>
    <row r="473" spans="5:5">
      <c r="E473" s="101"/>
    </row>
    <row r="474" spans="5:5">
      <c r="E474" s="101"/>
    </row>
    <row r="475" spans="5:5">
      <c r="E475" s="101"/>
    </row>
    <row r="476" spans="5:5">
      <c r="E476" s="101"/>
    </row>
    <row r="477" spans="5:5">
      <c r="E477" s="101"/>
    </row>
    <row r="478" spans="5:5">
      <c r="E478" s="101"/>
    </row>
    <row r="479" spans="5:5">
      <c r="E479" s="101"/>
    </row>
    <row r="480" spans="5:5">
      <c r="E480" s="101"/>
    </row>
    <row r="481" spans="5:5">
      <c r="E481" s="101"/>
    </row>
    <row r="482" spans="5:5">
      <c r="E482" s="101"/>
    </row>
    <row r="483" spans="5:5">
      <c r="E483" s="101"/>
    </row>
    <row r="484" spans="5:5">
      <c r="E484" s="101"/>
    </row>
    <row r="485" spans="5:5">
      <c r="E485" s="101"/>
    </row>
    <row r="486" spans="5:5">
      <c r="E486" s="101"/>
    </row>
    <row r="487" spans="5:5">
      <c r="E487" s="101"/>
    </row>
    <row r="488" spans="5:5">
      <c r="E488" s="101"/>
    </row>
    <row r="489" spans="5:5">
      <c r="E489" s="101"/>
    </row>
    <row r="490" spans="5:5">
      <c r="E490" s="101"/>
    </row>
    <row r="491" spans="5:5">
      <c r="E491" s="101"/>
    </row>
    <row r="492" spans="5:5">
      <c r="E492" s="101"/>
    </row>
    <row r="493" spans="5:5">
      <c r="E493" s="101"/>
    </row>
  </sheetData>
  <sheetProtection formatCells="0"/>
  <mergeCells count="2">
    <mergeCell ref="I3:J3"/>
    <mergeCell ref="K3:L3"/>
  </mergeCells>
  <printOptions horizontalCentered="1"/>
  <pageMargins left="0.25" right="0.25" top="0.25" bottom="0.5" header="0.25" footer="0.25"/>
  <pageSetup scale="75" orientation="landscape" r:id="rId1"/>
  <headerFooter alignWithMargins="0">
    <oddFooter>&amp;LFarley-Jamieson Inc.
Printed on: &amp;D @ &amp;T&amp;CPage &amp;P of &amp;N&amp;RSheet Name: &amp;A
File Name: &amp;F</oddFooter>
  </headerFooter>
  <rowBreaks count="1" manualBreakCount="1">
    <brk id="40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Drop Down 1">
              <controlPr defaultSize="0" autoLine="0" autoPict="0">
                <anchor moveWithCells="1">
                  <from>
                    <xdr:col>4</xdr:col>
                    <xdr:colOff>25400</xdr:colOff>
                    <xdr:row>5</xdr:row>
                    <xdr:rowOff>158750</xdr:rowOff>
                  </from>
                  <to>
                    <xdr:col>5</xdr:col>
                    <xdr:colOff>368300</xdr:colOff>
                    <xdr:row>7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P493"/>
  <sheetViews>
    <sheetView showGridLines="0" tabSelected="1" zoomScale="76" zoomScaleNormal="100" zoomScaleSheetLayoutView="90" workbookViewId="0">
      <pane ySplit="5" topLeftCell="A340" activePane="bottomLeft" state="frozen"/>
      <selection activeCell="K479" sqref="K479"/>
      <selection pane="bottomLeft" activeCell="B2" sqref="B2"/>
    </sheetView>
  </sheetViews>
  <sheetFormatPr defaultColWidth="0" defaultRowHeight="13"/>
  <cols>
    <col min="1" max="1" width="2.54296875" style="2" customWidth="1"/>
    <col min="2" max="3" width="1.81640625" style="2" customWidth="1"/>
    <col min="4" max="4" width="50.08984375" style="2" customWidth="1"/>
    <col min="5" max="5" width="8.6328125" style="2" customWidth="1"/>
    <col min="6" max="6" width="12.7265625" style="2" customWidth="1"/>
    <col min="7" max="8" width="1.81640625" style="2" customWidth="1"/>
    <col min="9" max="11" width="12.7265625" style="2" customWidth="1"/>
    <col min="12" max="16" width="9.7265625" style="2" bestFit="1" customWidth="1"/>
    <col min="17" max="16384" width="9.26953125" style="2" hidden="1"/>
  </cols>
  <sheetData>
    <row r="1" spans="2:16" s="75" customFormat="1"/>
    <row r="2" spans="2:16" s="75" customFormat="1" ht="18.5">
      <c r="B2" s="76" t="s">
        <v>67</v>
      </c>
      <c r="I2" s="77" t="str">
        <f>"Financial Model: "&amp;L5&amp;" to "&amp;P5</f>
        <v>Financial Model: 2024 to 2028</v>
      </c>
    </row>
    <row r="3" spans="2:16" s="75" customFormat="1">
      <c r="B3" s="77" t="s">
        <v>70</v>
      </c>
      <c r="I3" s="167" t="str">
        <f ca="1">IF(BS_Check=0,"BS Check: OK","BS Check: Error")</f>
        <v>BS Check: OK</v>
      </c>
      <c r="J3" s="168"/>
      <c r="K3" s="169" t="str">
        <f>Scenario_Used</f>
        <v>Scenario: Base Case</v>
      </c>
      <c r="L3" s="169"/>
    </row>
    <row r="4" spans="2:16">
      <c r="I4" s="78" t="s">
        <v>73</v>
      </c>
      <c r="J4" s="78" t="s">
        <v>73</v>
      </c>
      <c r="K4" s="78" t="s">
        <v>73</v>
      </c>
      <c r="L4" s="78" t="s">
        <v>74</v>
      </c>
      <c r="M4" s="78" t="s">
        <v>74</v>
      </c>
      <c r="N4" s="78" t="s">
        <v>74</v>
      </c>
      <c r="O4" s="78" t="s">
        <v>74</v>
      </c>
      <c r="P4" s="78" t="s">
        <v>74</v>
      </c>
    </row>
    <row r="5" spans="2:16">
      <c r="E5" s="2" t="s">
        <v>71</v>
      </c>
      <c r="F5" s="2" t="s">
        <v>72</v>
      </c>
      <c r="I5" s="79">
        <v>2021</v>
      </c>
      <c r="J5" s="79">
        <f>I5+1</f>
        <v>2022</v>
      </c>
      <c r="K5" s="79">
        <f t="shared" ref="K5:P5" si="0">J5+1</f>
        <v>2023</v>
      </c>
      <c r="L5" s="80">
        <f t="shared" si="0"/>
        <v>2024</v>
      </c>
      <c r="M5" s="80">
        <f t="shared" si="0"/>
        <v>2025</v>
      </c>
      <c r="N5" s="80">
        <f t="shared" si="0"/>
        <v>2026</v>
      </c>
      <c r="O5" s="80">
        <f t="shared" si="0"/>
        <v>2027</v>
      </c>
      <c r="P5" s="80">
        <f t="shared" si="0"/>
        <v>2028</v>
      </c>
    </row>
    <row r="6" spans="2:16">
      <c r="E6" s="101"/>
    </row>
    <row r="7" spans="2:16">
      <c r="E7" s="101"/>
    </row>
    <row r="8" spans="2:16" ht="23.5">
      <c r="B8" s="1" t="s">
        <v>67</v>
      </c>
      <c r="C8" s="1"/>
      <c r="D8" s="1"/>
      <c r="E8" s="149"/>
      <c r="F8" s="1"/>
      <c r="G8" s="1"/>
      <c r="H8" s="1"/>
      <c r="I8" s="1"/>
      <c r="J8" s="1"/>
      <c r="K8" s="1"/>
    </row>
    <row r="9" spans="2:16" ht="19.5" customHeight="1">
      <c r="B9" s="3" t="s">
        <v>0</v>
      </c>
      <c r="C9" s="3"/>
      <c r="D9" s="3"/>
      <c r="E9" s="149"/>
      <c r="F9" s="3"/>
      <c r="G9" s="3"/>
      <c r="H9" s="3"/>
      <c r="I9" s="3"/>
      <c r="J9" s="3"/>
      <c r="K9" s="3"/>
    </row>
    <row r="10" spans="2:16" ht="6" customHeight="1" thickBot="1">
      <c r="B10" s="4"/>
      <c r="C10" s="4"/>
      <c r="D10" s="4"/>
      <c r="E10" s="150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2:16">
      <c r="B11" s="5" t="s">
        <v>59</v>
      </c>
      <c r="C11" s="5"/>
      <c r="E11" s="101"/>
    </row>
    <row r="12" spans="2:16">
      <c r="E12" s="101"/>
      <c r="G12" s="6"/>
      <c r="H12" s="6"/>
    </row>
    <row r="13" spans="2:16">
      <c r="E13" s="101"/>
      <c r="G13" s="7"/>
      <c r="H13" s="7"/>
      <c r="I13" s="8">
        <v>2021</v>
      </c>
      <c r="J13" s="8">
        <f>I13+1</f>
        <v>2022</v>
      </c>
      <c r="K13" s="8">
        <f>J13+1</f>
        <v>2023</v>
      </c>
      <c r="L13" s="8">
        <f t="shared" ref="L13:P13" si="1">K13+1</f>
        <v>2024</v>
      </c>
      <c r="M13" s="8">
        <f t="shared" si="1"/>
        <v>2025</v>
      </c>
      <c r="N13" s="8">
        <f t="shared" si="1"/>
        <v>2026</v>
      </c>
      <c r="O13" s="8">
        <f t="shared" si="1"/>
        <v>2027</v>
      </c>
      <c r="P13" s="8">
        <f t="shared" si="1"/>
        <v>2028</v>
      </c>
    </row>
    <row r="14" spans="2:16" ht="13.15" customHeight="1">
      <c r="E14" s="101"/>
      <c r="G14" s="7"/>
      <c r="H14" s="7"/>
      <c r="I14" s="7"/>
      <c r="J14" s="7"/>
      <c r="K14" s="7"/>
    </row>
    <row r="15" spans="2:16">
      <c r="B15" s="56" t="s">
        <v>1</v>
      </c>
      <c r="C15" s="72"/>
      <c r="D15" s="57"/>
      <c r="E15" s="151" t="s">
        <v>106</v>
      </c>
      <c r="F15" s="57"/>
      <c r="G15" s="58"/>
      <c r="H15" s="58"/>
      <c r="I15" s="58"/>
      <c r="J15" s="59">
        <f>J21/I21-1</f>
        <v>5.3532353860581194E-2</v>
      </c>
      <c r="K15" s="60">
        <f>K21/J21-1</f>
        <v>-2.1363400341220751E-2</v>
      </c>
      <c r="L15" s="60">
        <f t="shared" ref="L15:P15" si="2">L21/K21-1</f>
        <v>0.10653588723358309</v>
      </c>
      <c r="M15" s="60">
        <f t="shared" si="2"/>
        <v>3.9642857142856869E-2</v>
      </c>
      <c r="N15" s="60">
        <f t="shared" si="2"/>
        <v>3.9436619718309807E-2</v>
      </c>
      <c r="O15" s="60">
        <f t="shared" si="2"/>
        <v>3.9236111111111027E-2</v>
      </c>
      <c r="P15" s="60">
        <f t="shared" si="2"/>
        <v>2.6851491959341001E-2</v>
      </c>
    </row>
    <row r="16" spans="2:16">
      <c r="B16" s="61" t="s">
        <v>2</v>
      </c>
      <c r="C16" s="73"/>
      <c r="D16" s="62"/>
      <c r="E16" s="101" t="s">
        <v>106</v>
      </c>
      <c r="F16" s="62"/>
      <c r="G16" s="63"/>
      <c r="H16" s="63"/>
      <c r="I16" s="64">
        <f>I23/I$21</f>
        <v>0.63365504845264142</v>
      </c>
      <c r="J16" s="64">
        <f>J23/J$21</f>
        <v>0.63120317483866184</v>
      </c>
      <c r="K16" s="65">
        <f>K23/K$21</f>
        <v>0.62955734101417415</v>
      </c>
      <c r="L16" s="65">
        <f t="shared" ref="L16:P16" si="3">L23/L$21</f>
        <v>0.59480287061338877</v>
      </c>
      <c r="M16" s="65">
        <f t="shared" si="3"/>
        <v>0.59821235318354282</v>
      </c>
      <c r="N16" s="65">
        <f t="shared" si="3"/>
        <v>0.60184789879364065</v>
      </c>
      <c r="O16" s="65">
        <f t="shared" si="3"/>
        <v>0.6057095741192694</v>
      </c>
      <c r="P16" s="65">
        <f t="shared" si="3"/>
        <v>0.61248163325941218</v>
      </c>
    </row>
    <row r="17" spans="2:16">
      <c r="B17" s="66" t="s">
        <v>3</v>
      </c>
      <c r="C17" s="74"/>
      <c r="D17" s="67"/>
      <c r="E17" s="152" t="s">
        <v>106</v>
      </c>
      <c r="F17" s="67"/>
      <c r="G17" s="68"/>
      <c r="H17" s="68"/>
      <c r="I17" s="69">
        <f>I24/I$21</f>
        <v>0.20545482963426068</v>
      </c>
      <c r="J17" s="69">
        <f t="shared" ref="J17:K17" si="4">J24/J$21</f>
        <v>0.2001520658704844</v>
      </c>
      <c r="K17" s="70">
        <f t="shared" si="4"/>
        <v>0.22276965057227313</v>
      </c>
      <c r="L17" s="70">
        <f t="shared" ref="L17:P17" si="5">L24/L$21</f>
        <v>0.20550017153537498</v>
      </c>
      <c r="M17" s="70">
        <f t="shared" si="5"/>
        <v>0.20359412391206511</v>
      </c>
      <c r="N17" s="70">
        <f t="shared" si="5"/>
        <v>0.20174577617465206</v>
      </c>
      <c r="O17" s="70">
        <f t="shared" si="5"/>
        <v>0.19995277996808819</v>
      </c>
      <c r="P17" s="70">
        <f t="shared" si="5"/>
        <v>0.2005658705078705</v>
      </c>
    </row>
    <row r="18" spans="2:16" ht="13.15" customHeight="1">
      <c r="B18" s="9"/>
      <c r="C18" s="9"/>
      <c r="E18" s="101"/>
      <c r="G18" s="7"/>
      <c r="H18" s="7"/>
      <c r="I18" s="7"/>
      <c r="J18" s="7"/>
      <c r="K18" s="7"/>
    </row>
    <row r="19" spans="2:16" ht="13.15" customHeight="1">
      <c r="B19" s="9"/>
      <c r="C19" s="9"/>
      <c r="D19" s="2" t="s">
        <v>62</v>
      </c>
      <c r="E19" s="101" t="str">
        <f>Currency</f>
        <v>$'m</v>
      </c>
      <c r="G19" s="7"/>
      <c r="H19" s="7"/>
      <c r="I19" s="10">
        <v>5311.3</v>
      </c>
      <c r="J19" s="10">
        <v>5610</v>
      </c>
      <c r="K19" s="10">
        <v>5609.6</v>
      </c>
      <c r="L19" s="2">
        <f>L173</f>
        <v>6181.7831841090656</v>
      </c>
      <c r="M19" s="2">
        <f t="shared" ref="M19:P19" si="6">M173</f>
        <v>6423.5452874791017</v>
      </c>
      <c r="N19" s="2">
        <f t="shared" si="6"/>
        <v>6673.5404408275735</v>
      </c>
      <c r="O19" s="2">
        <f t="shared" si="6"/>
        <v>6932.0294521177939</v>
      </c>
      <c r="P19" s="2">
        <f t="shared" si="6"/>
        <v>7119.3427022973201</v>
      </c>
    </row>
    <row r="20" spans="2:16" ht="13.15" customHeight="1">
      <c r="B20" s="9"/>
      <c r="C20" s="9"/>
      <c r="D20" s="2" t="s">
        <v>63</v>
      </c>
      <c r="E20" s="101" t="str">
        <f>Currency</f>
        <v>$'m</v>
      </c>
      <c r="G20" s="7"/>
      <c r="H20" s="7"/>
      <c r="I20" s="12">
        <v>192.9</v>
      </c>
      <c r="J20" s="12">
        <v>217.6</v>
      </c>
      <c r="K20" s="81">
        <v>332.4</v>
      </c>
      <c r="L20" s="2">
        <f>L174</f>
        <v>342.37199999999996</v>
      </c>
      <c r="M20" s="2">
        <f t="shared" ref="M20:P20" si="7">M174</f>
        <v>352.64315999999997</v>
      </c>
      <c r="N20" s="2">
        <f t="shared" si="7"/>
        <v>363.22245479999998</v>
      </c>
      <c r="O20" s="2">
        <f t="shared" si="7"/>
        <v>374.11912844400001</v>
      </c>
      <c r="P20" s="2">
        <f t="shared" si="7"/>
        <v>385.34270229732005</v>
      </c>
    </row>
    <row r="21" spans="2:16">
      <c r="D21" s="9" t="s">
        <v>64</v>
      </c>
      <c r="E21" s="101" t="str">
        <f>Currency</f>
        <v>$'m</v>
      </c>
      <c r="F21" s="9"/>
      <c r="G21" s="7"/>
      <c r="H21" s="7"/>
      <c r="I21" s="55">
        <f>I19-I20</f>
        <v>5118.4000000000005</v>
      </c>
      <c r="J21" s="55">
        <f t="shared" ref="J21:P21" si="8">J19-J20</f>
        <v>5392.4</v>
      </c>
      <c r="K21" s="82">
        <f t="shared" si="8"/>
        <v>5277.2000000000007</v>
      </c>
      <c r="L21" s="82">
        <f t="shared" si="8"/>
        <v>5839.4111841090653</v>
      </c>
      <c r="M21" s="82">
        <f t="shared" si="8"/>
        <v>6070.9021274791021</v>
      </c>
      <c r="N21" s="82">
        <f t="shared" si="8"/>
        <v>6310.3179860275732</v>
      </c>
      <c r="O21" s="82">
        <f t="shared" si="8"/>
        <v>6557.9103236737938</v>
      </c>
      <c r="P21" s="82">
        <f t="shared" si="8"/>
        <v>6734</v>
      </c>
    </row>
    <row r="22" spans="2:16" ht="13.15" customHeight="1">
      <c r="E22" s="101"/>
      <c r="G22" s="7"/>
      <c r="H22" s="7"/>
      <c r="I22" s="7"/>
      <c r="J22" s="7"/>
      <c r="K22" s="7"/>
    </row>
    <row r="23" spans="2:16">
      <c r="D23" s="2" t="s">
        <v>65</v>
      </c>
      <c r="E23" s="101" t="str">
        <f>Currency</f>
        <v>$'m</v>
      </c>
      <c r="G23" s="7"/>
      <c r="H23" s="7"/>
      <c r="I23" s="10">
        <v>3243.3</v>
      </c>
      <c r="J23" s="10">
        <v>3403.7</v>
      </c>
      <c r="K23" s="10">
        <v>3322.3</v>
      </c>
      <c r="L23" s="2">
        <f>L196</f>
        <v>3473.2985349999999</v>
      </c>
      <c r="M23" s="2">
        <f t="shared" ref="M23:P23" si="9">M196</f>
        <v>3631.6886476262498</v>
      </c>
      <c r="N23" s="2">
        <f t="shared" si="9"/>
        <v>3797.8516206104132</v>
      </c>
      <c r="O23" s="2">
        <f t="shared" si="9"/>
        <v>3972.1890692648135</v>
      </c>
      <c r="P23" s="2">
        <f t="shared" si="9"/>
        <v>4124.4513183688814</v>
      </c>
    </row>
    <row r="24" spans="2:16">
      <c r="D24" s="11" t="s">
        <v>4</v>
      </c>
      <c r="E24" s="153" t="str">
        <f>Currency</f>
        <v>$'m</v>
      </c>
      <c r="G24" s="7"/>
      <c r="H24" s="7"/>
      <c r="I24" s="81">
        <v>1051.5999999999999</v>
      </c>
      <c r="J24" s="81">
        <v>1079.3</v>
      </c>
      <c r="K24" s="81">
        <v>1175.5999999999999</v>
      </c>
      <c r="L24" s="2">
        <f>L198</f>
        <v>1200</v>
      </c>
      <c r="M24" s="2">
        <f t="shared" ref="M24:P24" si="10">M198</f>
        <v>1236</v>
      </c>
      <c r="N24" s="2">
        <f t="shared" si="10"/>
        <v>1273.08</v>
      </c>
      <c r="O24" s="2">
        <f t="shared" si="10"/>
        <v>1311.2724000000001</v>
      </c>
      <c r="P24" s="2">
        <f t="shared" si="10"/>
        <v>1350.610572</v>
      </c>
    </row>
    <row r="25" spans="2:16">
      <c r="D25" s="13" t="s">
        <v>5</v>
      </c>
      <c r="E25" s="153" t="str">
        <f>Currency</f>
        <v>$'m</v>
      </c>
      <c r="G25" s="7"/>
      <c r="H25" s="7"/>
      <c r="I25" s="83">
        <f t="shared" ref="I25:P25" si="11">SUM(I23:I24)</f>
        <v>4294.8999999999996</v>
      </c>
      <c r="J25" s="83">
        <f t="shared" si="11"/>
        <v>4483</v>
      </c>
      <c r="K25" s="83">
        <f t="shared" si="11"/>
        <v>4497.8999999999996</v>
      </c>
      <c r="L25" s="83">
        <f>SUM(L23:L24)</f>
        <v>4673.2985349999999</v>
      </c>
      <c r="M25" s="83">
        <f t="shared" si="11"/>
        <v>4867.6886476262498</v>
      </c>
      <c r="N25" s="83">
        <f t="shared" si="11"/>
        <v>5070.9316206104131</v>
      </c>
      <c r="O25" s="83">
        <f t="shared" si="11"/>
        <v>5283.4614692648138</v>
      </c>
      <c r="P25" s="83">
        <f t="shared" si="11"/>
        <v>5475.061890368881</v>
      </c>
    </row>
    <row r="26" spans="2:16">
      <c r="D26" s="13"/>
      <c r="E26" s="153"/>
      <c r="G26" s="7"/>
      <c r="H26" s="7"/>
      <c r="I26" s="7"/>
      <c r="J26" s="7"/>
      <c r="K26" s="7"/>
    </row>
    <row r="27" spans="2:16">
      <c r="D27" s="2" t="s">
        <v>6</v>
      </c>
      <c r="E27" s="101" t="str">
        <f>Currency</f>
        <v>$'m</v>
      </c>
      <c r="G27" s="7"/>
      <c r="H27" s="7"/>
      <c r="I27" s="81">
        <v>-6.2</v>
      </c>
      <c r="J27" s="81">
        <v>0</v>
      </c>
      <c r="K27" s="81">
        <v>0</v>
      </c>
      <c r="L27" s="2">
        <f>Assumptions!L139</f>
        <v>0</v>
      </c>
      <c r="M27" s="2">
        <f>Assumptions!M139</f>
        <v>0</v>
      </c>
      <c r="N27" s="2">
        <f>Assumptions!N139</f>
        <v>0</v>
      </c>
      <c r="O27" s="2">
        <f>Assumptions!O139</f>
        <v>0</v>
      </c>
      <c r="P27" s="2">
        <f>Assumptions!P139</f>
        <v>0</v>
      </c>
    </row>
    <row r="28" spans="2:16">
      <c r="B28" s="9"/>
      <c r="C28" s="9"/>
      <c r="D28" s="9" t="s">
        <v>7</v>
      </c>
      <c r="E28" s="101" t="str">
        <f>Currency</f>
        <v>$'m</v>
      </c>
      <c r="I28" s="84">
        <f>I21-I25+I27</f>
        <v>817.30000000000086</v>
      </c>
      <c r="J28" s="84">
        <f t="shared" ref="J28:P28" si="12">J21-J25+J27</f>
        <v>909.39999999999964</v>
      </c>
      <c r="K28" s="84">
        <f t="shared" si="12"/>
        <v>779.30000000000109</v>
      </c>
      <c r="L28" s="84">
        <f t="shared" si="12"/>
        <v>1166.1126491090654</v>
      </c>
      <c r="M28" s="84">
        <f t="shared" si="12"/>
        <v>1203.2134798528523</v>
      </c>
      <c r="N28" s="84">
        <f t="shared" si="12"/>
        <v>1239.3863654171601</v>
      </c>
      <c r="O28" s="84">
        <f t="shared" si="12"/>
        <v>1274.44885440898</v>
      </c>
      <c r="P28" s="84">
        <f t="shared" si="12"/>
        <v>1258.938109631119</v>
      </c>
    </row>
    <row r="29" spans="2:16">
      <c r="E29" s="101"/>
    </row>
    <row r="30" spans="2:16">
      <c r="D30" s="2" t="s">
        <v>8</v>
      </c>
      <c r="E30" s="101" t="str">
        <f>Currency</f>
        <v>$'m</v>
      </c>
      <c r="I30" s="85">
        <v>165.2</v>
      </c>
      <c r="J30" s="85">
        <v>151.9</v>
      </c>
      <c r="K30" s="85">
        <v>158.1</v>
      </c>
      <c r="L30" s="2">
        <f>L224</f>
        <v>18.25</v>
      </c>
      <c r="M30" s="2">
        <f t="shared" ref="M30:P30" si="13">M224</f>
        <v>30.75</v>
      </c>
      <c r="N30" s="2">
        <f t="shared" si="13"/>
        <v>43.25</v>
      </c>
      <c r="O30" s="2">
        <f t="shared" si="13"/>
        <v>55.75</v>
      </c>
      <c r="P30" s="2">
        <f t="shared" si="13"/>
        <v>68.25</v>
      </c>
    </row>
    <row r="31" spans="2:16">
      <c r="D31" s="13" t="s">
        <v>9</v>
      </c>
      <c r="E31" s="153" t="str">
        <f>Currency</f>
        <v>$'m</v>
      </c>
      <c r="I31" s="84">
        <f t="shared" ref="I31:P31" si="14">I28-I30</f>
        <v>652.10000000000082</v>
      </c>
      <c r="J31" s="84">
        <f t="shared" si="14"/>
        <v>757.49999999999966</v>
      </c>
      <c r="K31" s="84">
        <f t="shared" si="14"/>
        <v>621.20000000000107</v>
      </c>
      <c r="L31" s="84">
        <f t="shared" si="14"/>
        <v>1147.8626491090654</v>
      </c>
      <c r="M31" s="84">
        <f t="shared" si="14"/>
        <v>1172.4634798528523</v>
      </c>
      <c r="N31" s="84">
        <f t="shared" si="14"/>
        <v>1196.1363654171601</v>
      </c>
      <c r="O31" s="84">
        <f t="shared" si="14"/>
        <v>1218.69885440898</v>
      </c>
      <c r="P31" s="84">
        <f t="shared" si="14"/>
        <v>1190.688109631119</v>
      </c>
    </row>
    <row r="32" spans="2:16" ht="6" customHeight="1">
      <c r="D32" s="13"/>
      <c r="E32" s="153"/>
    </row>
    <row r="33" spans="1:16" ht="12.75" customHeight="1">
      <c r="D33" s="2" t="s">
        <v>6</v>
      </c>
      <c r="E33" s="101" t="str">
        <f>Currency</f>
        <v>$'m</v>
      </c>
      <c r="I33" s="17">
        <v>1.5</v>
      </c>
      <c r="J33" s="17">
        <v>0.6</v>
      </c>
      <c r="K33" s="17">
        <v>3.2</v>
      </c>
      <c r="L33" s="2">
        <f>Assumptions!L140</f>
        <v>0</v>
      </c>
      <c r="M33" s="2">
        <f>Assumptions!M140</f>
        <v>0</v>
      </c>
      <c r="N33" s="2">
        <f>Assumptions!N140</f>
        <v>0</v>
      </c>
      <c r="O33" s="2">
        <f>Assumptions!O140</f>
        <v>0</v>
      </c>
      <c r="P33" s="2">
        <f>Assumptions!P140</f>
        <v>0</v>
      </c>
    </row>
    <row r="34" spans="1:16">
      <c r="D34" s="18" t="s">
        <v>55</v>
      </c>
      <c r="E34" s="154" t="str">
        <f>Currency</f>
        <v>$'m</v>
      </c>
      <c r="I34" s="85">
        <v>138.69999999999999</v>
      </c>
      <c r="J34" s="85">
        <v>216.6</v>
      </c>
      <c r="K34" s="85">
        <v>225.4</v>
      </c>
      <c r="L34" s="2">
        <f ca="1">L381</f>
        <v>218.30196615262426</v>
      </c>
      <c r="M34" s="2">
        <f t="shared" ref="M34:P34" ca="1" si="15">M381</f>
        <v>205.26955139546672</v>
      </c>
      <c r="N34" s="2">
        <f t="shared" ca="1" si="15"/>
        <v>189.4597849269276</v>
      </c>
      <c r="O34" s="2">
        <f t="shared" ca="1" si="15"/>
        <v>172.74163974279946</v>
      </c>
      <c r="P34" s="2">
        <f t="shared" ca="1" si="15"/>
        <v>154.97067035607694</v>
      </c>
    </row>
    <row r="35" spans="1:16">
      <c r="D35" s="19" t="s">
        <v>10</v>
      </c>
      <c r="E35" s="154" t="str">
        <f>Currency</f>
        <v>$'m</v>
      </c>
      <c r="I35" s="84">
        <f t="shared" ref="I35:P35" si="16">I31+I33-I34</f>
        <v>514.90000000000077</v>
      </c>
      <c r="J35" s="84">
        <f t="shared" si="16"/>
        <v>541.49999999999966</v>
      </c>
      <c r="K35" s="84">
        <f t="shared" si="16"/>
        <v>399.00000000000114</v>
      </c>
      <c r="L35" s="84">
        <f t="shared" ca="1" si="16"/>
        <v>929.56068295644116</v>
      </c>
      <c r="M35" s="84">
        <f t="shared" ca="1" si="16"/>
        <v>967.1939284573856</v>
      </c>
      <c r="N35" s="84">
        <f t="shared" ca="1" si="16"/>
        <v>1006.6765804902325</v>
      </c>
      <c r="O35" s="84">
        <f t="shared" ca="1" si="16"/>
        <v>1045.9572146661806</v>
      </c>
      <c r="P35" s="84">
        <f t="shared" ca="1" si="16"/>
        <v>1035.7174392750421</v>
      </c>
    </row>
    <row r="36" spans="1:16" ht="6" customHeight="1">
      <c r="D36" s="13"/>
      <c r="E36" s="153"/>
    </row>
    <row r="37" spans="1:16">
      <c r="D37" s="2" t="s">
        <v>11</v>
      </c>
      <c r="E37" s="101" t="str">
        <f>Currency</f>
        <v>$'m</v>
      </c>
      <c r="I37" s="17">
        <v>145.80000000000001</v>
      </c>
      <c r="J37" s="17">
        <v>159.4</v>
      </c>
      <c r="K37" s="17">
        <v>153.1</v>
      </c>
      <c r="L37" s="2">
        <f ca="1">L245</f>
        <v>290.34623903475438</v>
      </c>
      <c r="M37" s="2">
        <f t="shared" ref="M37:P37" ca="1" si="17">M245</f>
        <v>303.51787496008495</v>
      </c>
      <c r="N37" s="2">
        <f t="shared" ca="1" si="17"/>
        <v>317.33680317158132</v>
      </c>
      <c r="O37" s="2">
        <f t="shared" ca="1" si="17"/>
        <v>331.08502513316319</v>
      </c>
      <c r="P37" s="2">
        <f t="shared" ca="1" si="17"/>
        <v>327.50110374626473</v>
      </c>
    </row>
    <row r="38" spans="1:16">
      <c r="D38" s="2" t="s">
        <v>12</v>
      </c>
      <c r="E38" s="101" t="str">
        <f>Currency</f>
        <v>$'m</v>
      </c>
      <c r="I38" s="85">
        <v>23.399999999999977</v>
      </c>
      <c r="J38" s="85">
        <v>32.599999999999994</v>
      </c>
      <c r="K38" s="85">
        <v>-21.299999999999983</v>
      </c>
      <c r="L38" s="2">
        <f>L246</f>
        <v>35</v>
      </c>
      <c r="M38" s="2">
        <f t="shared" ref="M38:P38" si="18">M246</f>
        <v>35</v>
      </c>
      <c r="N38" s="2">
        <f t="shared" si="18"/>
        <v>35</v>
      </c>
      <c r="O38" s="2">
        <f t="shared" si="18"/>
        <v>35</v>
      </c>
      <c r="P38" s="2">
        <f t="shared" si="18"/>
        <v>35</v>
      </c>
    </row>
    <row r="39" spans="1:16">
      <c r="D39" s="9" t="s">
        <v>13</v>
      </c>
      <c r="E39" s="101" t="str">
        <f>Currency</f>
        <v>$'m</v>
      </c>
      <c r="I39" s="84">
        <f t="shared" ref="I39:P39" si="19">SUM(I37:I38)</f>
        <v>169.2</v>
      </c>
      <c r="J39" s="84">
        <f t="shared" si="19"/>
        <v>192</v>
      </c>
      <c r="K39" s="84">
        <f t="shared" si="19"/>
        <v>131.80000000000001</v>
      </c>
      <c r="L39" s="84">
        <f t="shared" ca="1" si="19"/>
        <v>325.34623903475438</v>
      </c>
      <c r="M39" s="84">
        <f t="shared" ca="1" si="19"/>
        <v>338.51787496008495</v>
      </c>
      <c r="N39" s="84">
        <f t="shared" ca="1" si="19"/>
        <v>352.33680317158132</v>
      </c>
      <c r="O39" s="84">
        <f t="shared" ca="1" si="19"/>
        <v>366.08502513316319</v>
      </c>
      <c r="P39" s="84">
        <f t="shared" ca="1" si="19"/>
        <v>362.50110374626473</v>
      </c>
    </row>
    <row r="40" spans="1:16" ht="9" customHeight="1">
      <c r="E40" s="101"/>
      <c r="I40" s="20"/>
      <c r="J40" s="20"/>
      <c r="K40" s="20"/>
    </row>
    <row r="41" spans="1:16">
      <c r="D41" s="21" t="s">
        <v>14</v>
      </c>
      <c r="E41" s="155" t="str">
        <f>Currency</f>
        <v>$'m</v>
      </c>
      <c r="F41" s="9"/>
      <c r="I41" s="22">
        <f t="shared" ref="I41:P41" si="20">I35-I39</f>
        <v>345.70000000000078</v>
      </c>
      <c r="J41" s="22">
        <f t="shared" si="20"/>
        <v>349.49999999999966</v>
      </c>
      <c r="K41" s="22">
        <f t="shared" si="20"/>
        <v>267.20000000000113</v>
      </c>
      <c r="L41" s="22">
        <f t="shared" ca="1" si="20"/>
        <v>604.21444392168678</v>
      </c>
      <c r="M41" s="22">
        <f t="shared" ca="1" si="20"/>
        <v>628.6760534973007</v>
      </c>
      <c r="N41" s="22">
        <f t="shared" ca="1" si="20"/>
        <v>654.33977731865116</v>
      </c>
      <c r="O41" s="22">
        <f t="shared" ca="1" si="20"/>
        <v>679.87218953301738</v>
      </c>
      <c r="P41" s="22">
        <f t="shared" ca="1" si="20"/>
        <v>673.21633552877734</v>
      </c>
    </row>
    <row r="42" spans="1:16">
      <c r="D42" s="21"/>
      <c r="E42" s="155"/>
      <c r="F42" s="9"/>
      <c r="I42" s="14"/>
      <c r="J42" s="14"/>
      <c r="K42" s="14"/>
    </row>
    <row r="43" spans="1:16">
      <c r="D43" s="23" t="s">
        <v>51</v>
      </c>
      <c r="E43" s="155" t="str">
        <f>Currency</f>
        <v>$'m</v>
      </c>
      <c r="F43" s="9"/>
      <c r="I43" s="16">
        <v>0</v>
      </c>
      <c r="J43" s="16">
        <v>0</v>
      </c>
      <c r="K43" s="85">
        <v>0</v>
      </c>
      <c r="L43" s="2">
        <f>L294</f>
        <v>0</v>
      </c>
      <c r="M43" s="2">
        <f t="shared" ref="M43:P43" si="21">M294</f>
        <v>2.3125</v>
      </c>
      <c r="N43" s="2">
        <f t="shared" si="21"/>
        <v>4.625</v>
      </c>
      <c r="O43" s="2">
        <f t="shared" si="21"/>
        <v>4.625</v>
      </c>
      <c r="P43" s="2">
        <f t="shared" si="21"/>
        <v>4.625</v>
      </c>
    </row>
    <row r="44" spans="1:16" ht="13.5" customHeight="1" thickBot="1">
      <c r="D44" s="21" t="s">
        <v>52</v>
      </c>
      <c r="E44" s="155" t="str">
        <f>Currency</f>
        <v>$'m</v>
      </c>
      <c r="F44" s="9"/>
      <c r="I44" s="24">
        <f t="shared" ref="I44:P44" si="22">I41-I43</f>
        <v>345.70000000000078</v>
      </c>
      <c r="J44" s="24">
        <f t="shared" si="22"/>
        <v>349.49999999999966</v>
      </c>
      <c r="K44" s="86">
        <f t="shared" si="22"/>
        <v>267.20000000000113</v>
      </c>
      <c r="L44" s="86">
        <f t="shared" ca="1" si="22"/>
        <v>604.21444392168678</v>
      </c>
      <c r="M44" s="86">
        <f t="shared" ca="1" si="22"/>
        <v>626.3635534973007</v>
      </c>
      <c r="N44" s="86">
        <f t="shared" ca="1" si="22"/>
        <v>649.71477731865116</v>
      </c>
      <c r="O44" s="86">
        <f t="shared" ca="1" si="22"/>
        <v>675.24718953301738</v>
      </c>
      <c r="P44" s="86">
        <f t="shared" ca="1" si="22"/>
        <v>668.59133552877734</v>
      </c>
    </row>
    <row r="45" spans="1:16" ht="13.5" customHeight="1" thickTop="1">
      <c r="B45" s="25"/>
      <c r="C45" s="25"/>
      <c r="D45" s="25"/>
      <c r="E45" s="156"/>
      <c r="F45" s="25"/>
      <c r="G45" s="25"/>
      <c r="H45" s="25"/>
      <c r="I45" s="26"/>
      <c r="J45" s="26"/>
      <c r="K45" s="87"/>
    </row>
    <row r="46" spans="1:16">
      <c r="A46" s="27"/>
      <c r="B46" s="27"/>
      <c r="C46" s="27"/>
      <c r="D46" s="27"/>
      <c r="E46" s="157"/>
      <c r="I46" s="27"/>
      <c r="J46" s="27"/>
      <c r="K46" s="88"/>
      <c r="L46" s="89"/>
      <c r="M46" s="89"/>
      <c r="N46" s="89"/>
      <c r="O46" s="89"/>
      <c r="P46" s="89"/>
    </row>
    <row r="47" spans="1:16">
      <c r="A47" s="27"/>
      <c r="B47" s="27"/>
      <c r="C47" s="133"/>
      <c r="D47" s="88" t="s">
        <v>199</v>
      </c>
      <c r="E47" s="158" t="s">
        <v>106</v>
      </c>
      <c r="F47" s="89"/>
      <c r="G47" s="89"/>
      <c r="H47" s="89"/>
      <c r="I47" s="134">
        <f>I28/I21</f>
        <v>0.15967880587683667</v>
      </c>
      <c r="J47" s="134">
        <f t="shared" ref="J47:P47" si="23">J28/J21</f>
        <v>0.16864475929085374</v>
      </c>
      <c r="K47" s="134">
        <f t="shared" si="23"/>
        <v>0.14767300841355283</v>
      </c>
      <c r="L47" s="134">
        <f t="shared" si="23"/>
        <v>0.19969695785123623</v>
      </c>
      <c r="M47" s="134">
        <f t="shared" si="23"/>
        <v>0.19819352290439213</v>
      </c>
      <c r="N47" s="134">
        <f t="shared" si="23"/>
        <v>0.1964063250317073</v>
      </c>
      <c r="O47" s="134">
        <f t="shared" si="23"/>
        <v>0.19433764591264241</v>
      </c>
      <c r="P47" s="135">
        <f t="shared" si="23"/>
        <v>0.1869524962327174</v>
      </c>
    </row>
    <row r="48" spans="1:16">
      <c r="A48" s="27"/>
      <c r="B48" s="27"/>
      <c r="C48" s="136" t="s">
        <v>200</v>
      </c>
      <c r="D48" s="130"/>
      <c r="E48" s="159"/>
      <c r="F48" s="92"/>
      <c r="G48" s="92"/>
      <c r="H48" s="92"/>
      <c r="I48" s="137"/>
      <c r="J48" s="137"/>
      <c r="K48" s="137"/>
      <c r="L48" s="137"/>
      <c r="M48" s="137"/>
      <c r="N48" s="137"/>
      <c r="O48" s="137"/>
      <c r="P48" s="138"/>
    </row>
    <row r="49" spans="1:16">
      <c r="A49" s="27"/>
      <c r="B49" s="27"/>
      <c r="C49" s="139"/>
      <c r="D49" s="130" t="s">
        <v>201</v>
      </c>
      <c r="E49" s="159" t="s">
        <v>106</v>
      </c>
      <c r="F49" s="92"/>
      <c r="G49" s="92"/>
      <c r="H49" s="92"/>
      <c r="I49" s="137">
        <f>I44/I135</f>
        <v>0.19213027288389972</v>
      </c>
      <c r="J49" s="137">
        <f t="shared" ref="J49:P49" si="24">J44/J135</f>
        <v>0.20526223057496898</v>
      </c>
      <c r="K49" s="137">
        <f t="shared" si="24"/>
        <v>0.16599366341554389</v>
      </c>
      <c r="L49" s="137">
        <f t="shared" ca="1" si="24"/>
        <v>0.31759983921616197</v>
      </c>
      <c r="M49" s="137">
        <f t="shared" ca="1" si="24"/>
        <v>0.27720405824967681</v>
      </c>
      <c r="N49" s="137">
        <f t="shared" ca="1" si="24"/>
        <v>0.24226001207114617</v>
      </c>
      <c r="O49" s="137">
        <f t="shared" ca="1" si="24"/>
        <v>0.21636983407721488</v>
      </c>
      <c r="P49" s="138">
        <f t="shared" ca="1" si="24"/>
        <v>0.18805031541617415</v>
      </c>
    </row>
    <row r="50" spans="1:16">
      <c r="A50" s="27"/>
      <c r="B50" s="27"/>
      <c r="C50" s="139"/>
      <c r="D50" s="130" t="s">
        <v>202</v>
      </c>
      <c r="E50" s="159" t="s">
        <v>106</v>
      </c>
      <c r="F50" s="92"/>
      <c r="G50" s="92"/>
      <c r="H50" s="92"/>
      <c r="I50" s="137">
        <f>I41/I21</f>
        <v>6.7540637699281175E-2</v>
      </c>
      <c r="J50" s="137">
        <f t="shared" ref="J50:P50" si="25">J41/J21</f>
        <v>6.4813441139381298E-2</v>
      </c>
      <c r="K50" s="137">
        <f t="shared" si="25"/>
        <v>5.0632911392405271E-2</v>
      </c>
      <c r="L50" s="137">
        <f t="shared" ca="1" si="25"/>
        <v>0.10347180989171487</v>
      </c>
      <c r="M50" s="137">
        <f t="shared" ca="1" si="25"/>
        <v>0.10355562324941546</v>
      </c>
      <c r="N50" s="137">
        <f t="shared" ca="1" si="25"/>
        <v>0.10369362982459883</v>
      </c>
      <c r="O50" s="137">
        <f t="shared" ca="1" si="25"/>
        <v>0.10367207783837878</v>
      </c>
      <c r="P50" s="138">
        <f t="shared" ca="1" si="25"/>
        <v>9.9972725798749232E-2</v>
      </c>
    </row>
    <row r="51" spans="1:16">
      <c r="A51" s="27"/>
      <c r="B51" s="27"/>
      <c r="C51" s="139"/>
      <c r="D51" s="130" t="s">
        <v>203</v>
      </c>
      <c r="E51" s="159" t="s">
        <v>187</v>
      </c>
      <c r="F51" s="140"/>
      <c r="G51" s="140"/>
      <c r="H51" s="140"/>
      <c r="I51" s="141">
        <f>I21/I114</f>
        <v>0.9224004325103623</v>
      </c>
      <c r="J51" s="141">
        <f t="shared" ref="J51:P51" si="26">J21/J114</f>
        <v>0.94719831371860175</v>
      </c>
      <c r="K51" s="141">
        <f t="shared" si="26"/>
        <v>0.97870919881305651</v>
      </c>
      <c r="L51" s="141">
        <f t="shared" ca="1" si="26"/>
        <v>1.0561662877604643</v>
      </c>
      <c r="M51" s="141">
        <f t="shared" ca="1" si="26"/>
        <v>1.0623035151310836</v>
      </c>
      <c r="N51" s="141">
        <f t="shared" ca="1" si="26"/>
        <v>1.0577479514725416</v>
      </c>
      <c r="O51" s="141">
        <f t="shared" ca="1" si="26"/>
        <v>1.0519120760307494</v>
      </c>
      <c r="P51" s="142">
        <f t="shared" ca="1" si="26"/>
        <v>1.0368486589178172</v>
      </c>
    </row>
    <row r="52" spans="1:16">
      <c r="A52" s="27"/>
      <c r="B52" s="27"/>
      <c r="C52" s="143"/>
      <c r="D52" s="144" t="s">
        <v>204</v>
      </c>
      <c r="E52" s="160" t="s">
        <v>187</v>
      </c>
      <c r="F52" s="25"/>
      <c r="G52" s="25"/>
      <c r="H52" s="25"/>
      <c r="I52" s="145">
        <f>I114/I135</f>
        <v>3.0839771022064135</v>
      </c>
      <c r="J52" s="145">
        <f t="shared" ref="J52:P52" si="27">J114/J135</f>
        <v>3.3435132436718158</v>
      </c>
      <c r="K52" s="145">
        <f t="shared" si="27"/>
        <v>3.3496924892837159</v>
      </c>
      <c r="L52" s="145">
        <f t="shared" ca="1" si="27"/>
        <v>2.9062028697413465</v>
      </c>
      <c r="M52" s="145">
        <f t="shared" ca="1" si="27"/>
        <v>2.5291682288073369</v>
      </c>
      <c r="N52" s="145">
        <f t="shared" ca="1" si="27"/>
        <v>2.2244776239192481</v>
      </c>
      <c r="O52" s="145">
        <f t="shared" ca="1" si="27"/>
        <v>1.9976525753274705</v>
      </c>
      <c r="P52" s="146">
        <f t="shared" ca="1" si="27"/>
        <v>1.8267161308094548</v>
      </c>
    </row>
    <row r="53" spans="1:16">
      <c r="A53" s="27"/>
      <c r="B53" s="27"/>
      <c r="C53" s="27"/>
      <c r="D53" s="130"/>
      <c r="E53" s="159"/>
      <c r="I53" s="28"/>
      <c r="J53" s="28"/>
      <c r="K53" s="28"/>
    </row>
    <row r="54" spans="1:16">
      <c r="A54" s="27"/>
      <c r="B54" s="27"/>
      <c r="C54" s="27"/>
      <c r="D54" s="130"/>
      <c r="E54" s="159"/>
      <c r="I54" s="28"/>
      <c r="J54" s="28"/>
      <c r="K54" s="28"/>
    </row>
    <row r="55" spans="1:16">
      <c r="A55" s="27"/>
      <c r="B55" s="27"/>
      <c r="C55" s="27"/>
      <c r="D55" s="130"/>
      <c r="E55" s="159"/>
      <c r="I55" s="28"/>
      <c r="J55" s="28"/>
      <c r="K55" s="28"/>
    </row>
    <row r="56" spans="1:16" ht="23.5">
      <c r="B56" s="1" t="str">
        <f>$B$8</f>
        <v>Farley-Jamieson Inc.</v>
      </c>
      <c r="C56" s="1"/>
      <c r="D56" s="29"/>
      <c r="E56" s="149"/>
      <c r="F56" s="29"/>
      <c r="G56" s="29"/>
      <c r="H56" s="29"/>
      <c r="I56" s="29"/>
      <c r="J56" s="29"/>
      <c r="K56" s="29"/>
    </row>
    <row r="57" spans="1:16" ht="18.5">
      <c r="B57" s="3" t="s">
        <v>15</v>
      </c>
      <c r="C57" s="3"/>
      <c r="D57" s="29"/>
      <c r="E57" s="149"/>
      <c r="F57" s="29"/>
      <c r="G57" s="29"/>
      <c r="H57" s="29"/>
      <c r="I57" s="29"/>
      <c r="J57" s="29"/>
      <c r="K57" s="29"/>
    </row>
    <row r="58" spans="1:16" ht="6" customHeight="1" thickBot="1">
      <c r="B58" s="4"/>
      <c r="C58" s="4"/>
      <c r="D58" s="30"/>
      <c r="E58" s="15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</row>
    <row r="59" spans="1:16">
      <c r="B59" s="5" t="str">
        <f>$B$11</f>
        <v>Millions for the Year Ended December 31</v>
      </c>
      <c r="C59" s="5"/>
      <c r="E59" s="101"/>
    </row>
    <row r="60" spans="1:16">
      <c r="E60" s="101"/>
    </row>
    <row r="61" spans="1:16">
      <c r="B61" s="31"/>
      <c r="C61" s="31"/>
      <c r="E61" s="101"/>
      <c r="G61" s="32"/>
      <c r="H61" s="32"/>
      <c r="I61" s="8">
        <f>I$13</f>
        <v>2021</v>
      </c>
      <c r="J61" s="8">
        <f t="shared" ref="J61:P61" si="28">J$13</f>
        <v>2022</v>
      </c>
      <c r="K61" s="8">
        <f t="shared" si="28"/>
        <v>2023</v>
      </c>
      <c r="L61" s="8">
        <f t="shared" si="28"/>
        <v>2024</v>
      </c>
      <c r="M61" s="8">
        <f t="shared" si="28"/>
        <v>2025</v>
      </c>
      <c r="N61" s="8">
        <f t="shared" si="28"/>
        <v>2026</v>
      </c>
      <c r="O61" s="8">
        <f t="shared" si="28"/>
        <v>2027</v>
      </c>
      <c r="P61" s="8">
        <f t="shared" si="28"/>
        <v>2028</v>
      </c>
    </row>
    <row r="62" spans="1:16">
      <c r="B62" s="31"/>
      <c r="C62" s="31"/>
      <c r="E62" s="101"/>
      <c r="G62" s="32"/>
      <c r="H62" s="32"/>
      <c r="I62" s="32"/>
      <c r="J62" s="32"/>
      <c r="K62" s="32"/>
    </row>
    <row r="63" spans="1:16">
      <c r="B63" s="9" t="s">
        <v>16</v>
      </c>
      <c r="C63" s="9"/>
      <c r="E63" s="101"/>
    </row>
    <row r="64" spans="1:16">
      <c r="D64" s="2" t="s">
        <v>14</v>
      </c>
      <c r="E64" s="101" t="str">
        <f t="shared" ref="E64:E69" si="29">Currency</f>
        <v>$'m</v>
      </c>
      <c r="G64" s="33"/>
      <c r="H64" s="33"/>
      <c r="I64" s="34">
        <v>345.7</v>
      </c>
      <c r="J64" s="34">
        <v>349.49999999999966</v>
      </c>
      <c r="K64" s="34">
        <v>267.2</v>
      </c>
      <c r="L64" s="2">
        <f ca="1">L41</f>
        <v>604.21444392168678</v>
      </c>
      <c r="M64" s="2">
        <f ca="1">M41</f>
        <v>628.6760534973007</v>
      </c>
      <c r="N64" s="2">
        <f ca="1">N41</f>
        <v>654.33977731865116</v>
      </c>
      <c r="O64" s="2">
        <f ca="1">O41</f>
        <v>679.87218953301738</v>
      </c>
      <c r="P64" s="2">
        <f ca="1">P41</f>
        <v>673.21633552877734</v>
      </c>
    </row>
    <row r="65" spans="2:16">
      <c r="D65" s="2" t="s">
        <v>8</v>
      </c>
      <c r="E65" s="101" t="str">
        <f t="shared" si="29"/>
        <v>$'m</v>
      </c>
      <c r="G65" s="33"/>
      <c r="H65" s="33"/>
      <c r="I65" s="34">
        <v>165.2</v>
      </c>
      <c r="J65" s="34">
        <v>151.9</v>
      </c>
      <c r="K65" s="34">
        <v>158.1</v>
      </c>
      <c r="L65" s="2">
        <f>L30</f>
        <v>18.25</v>
      </c>
      <c r="M65" s="2">
        <f>M30</f>
        <v>30.75</v>
      </c>
      <c r="N65" s="2">
        <f>N30</f>
        <v>43.25</v>
      </c>
      <c r="O65" s="2">
        <f>O30</f>
        <v>55.75</v>
      </c>
      <c r="P65" s="2">
        <f>P30</f>
        <v>68.25</v>
      </c>
    </row>
    <row r="66" spans="2:16">
      <c r="D66" s="2" t="s">
        <v>12</v>
      </c>
      <c r="E66" s="101" t="str">
        <f t="shared" si="29"/>
        <v>$'m</v>
      </c>
      <c r="G66" s="33"/>
      <c r="H66" s="33"/>
      <c r="I66" s="34">
        <v>23.399999999999977</v>
      </c>
      <c r="J66" s="34">
        <v>32.599999999999994</v>
      </c>
      <c r="K66" s="34">
        <v>-21.299999999999983</v>
      </c>
      <c r="L66" s="2">
        <f>L38</f>
        <v>35</v>
      </c>
      <c r="M66" s="2">
        <f>M38</f>
        <v>35</v>
      </c>
      <c r="N66" s="2">
        <f>N38</f>
        <v>35</v>
      </c>
      <c r="O66" s="2">
        <f>O38</f>
        <v>35</v>
      </c>
      <c r="P66" s="2">
        <f>P38</f>
        <v>35</v>
      </c>
    </row>
    <row r="67" spans="2:16">
      <c r="D67" s="2" t="s">
        <v>17</v>
      </c>
      <c r="E67" s="101" t="str">
        <f t="shared" si="29"/>
        <v>$'m</v>
      </c>
      <c r="G67" s="35"/>
      <c r="H67" s="35"/>
      <c r="I67" s="34">
        <v>-37.6</v>
      </c>
      <c r="J67" s="34">
        <v>-127.5</v>
      </c>
      <c r="K67" s="34">
        <v>5.7</v>
      </c>
      <c r="L67" s="2">
        <f>L281</f>
        <v>-82.362707195504527</v>
      </c>
      <c r="M67" s="2">
        <f t="shared" ref="M67:P67" si="30">M281</f>
        <v>-77.317316711601507</v>
      </c>
      <c r="N67" s="2">
        <f t="shared" si="30"/>
        <v>-75.642706156005261</v>
      </c>
      <c r="O67" s="2">
        <f t="shared" si="30"/>
        <v>-78.785096507086109</v>
      </c>
      <c r="P67" s="2">
        <f t="shared" si="30"/>
        <v>-56.878099901633277</v>
      </c>
    </row>
    <row r="68" spans="2:16">
      <c r="D68" s="2" t="s">
        <v>28</v>
      </c>
      <c r="E68" s="101" t="str">
        <f t="shared" si="29"/>
        <v>$'m</v>
      </c>
      <c r="G68" s="35"/>
      <c r="H68" s="35"/>
      <c r="I68" s="36">
        <v>-0.2</v>
      </c>
      <c r="J68" s="36">
        <v>1.1000000000000001</v>
      </c>
      <c r="K68" s="81">
        <v>-0.7</v>
      </c>
      <c r="L68" s="2">
        <f>Assumptions!L141</f>
        <v>0</v>
      </c>
      <c r="M68" s="2">
        <f>Assumptions!M141</f>
        <v>0</v>
      </c>
      <c r="N68" s="2">
        <f>Assumptions!N141</f>
        <v>0</v>
      </c>
      <c r="O68" s="2">
        <f>Assumptions!O141</f>
        <v>0</v>
      </c>
      <c r="P68" s="2">
        <f>Assumptions!P141</f>
        <v>0</v>
      </c>
    </row>
    <row r="69" spans="2:16">
      <c r="D69" s="13" t="s">
        <v>18</v>
      </c>
      <c r="E69" s="153" t="str">
        <f t="shared" si="29"/>
        <v>$'m</v>
      </c>
      <c r="G69" s="37"/>
      <c r="H69" s="37"/>
      <c r="I69" s="38">
        <f t="shared" ref="I69:P69" si="31">SUM(I64:I68)</f>
        <v>496.49999999999994</v>
      </c>
      <c r="J69" s="38">
        <f t="shared" si="31"/>
        <v>407.59999999999968</v>
      </c>
      <c r="K69" s="90">
        <f t="shared" si="31"/>
        <v>409</v>
      </c>
      <c r="L69" s="90">
        <f ca="1">SUM(L64:L68)</f>
        <v>575.10173672618225</v>
      </c>
      <c r="M69" s="90">
        <f t="shared" ca="1" si="31"/>
        <v>617.10873678569919</v>
      </c>
      <c r="N69" s="90">
        <f t="shared" ca="1" si="31"/>
        <v>656.9470711626459</v>
      </c>
      <c r="O69" s="90">
        <f t="shared" ca="1" si="31"/>
        <v>691.83709302593127</v>
      </c>
      <c r="P69" s="90">
        <f t="shared" ca="1" si="31"/>
        <v>719.58823562714406</v>
      </c>
    </row>
    <row r="70" spans="2:16">
      <c r="B70" s="11"/>
      <c r="C70" s="11"/>
      <c r="E70" s="101"/>
    </row>
    <row r="71" spans="2:16">
      <c r="B71" s="11"/>
      <c r="C71" s="11"/>
      <c r="E71" s="101"/>
    </row>
    <row r="72" spans="2:16">
      <c r="B72" s="9" t="s">
        <v>19</v>
      </c>
      <c r="C72" s="9"/>
      <c r="E72" s="101"/>
    </row>
    <row r="73" spans="2:16">
      <c r="D73" s="2" t="s">
        <v>20</v>
      </c>
      <c r="E73" s="101" t="str">
        <f>Currency</f>
        <v>$'m</v>
      </c>
      <c r="I73" s="17">
        <v>-220.2</v>
      </c>
      <c r="J73" s="17">
        <v>-251.7</v>
      </c>
      <c r="K73" s="17">
        <v>-207.4</v>
      </c>
      <c r="L73" s="2">
        <f>-L203</f>
        <v>-225</v>
      </c>
      <c r="M73" s="2">
        <f t="shared" ref="M73:P73" si="32">-M203</f>
        <v>-225</v>
      </c>
      <c r="N73" s="2">
        <f t="shared" si="32"/>
        <v>-225</v>
      </c>
      <c r="O73" s="2">
        <f t="shared" si="32"/>
        <v>-225</v>
      </c>
      <c r="P73" s="2">
        <f t="shared" si="32"/>
        <v>-225</v>
      </c>
    </row>
    <row r="74" spans="2:16">
      <c r="D74" s="2" t="s">
        <v>21</v>
      </c>
      <c r="E74" s="101" t="str">
        <f>Currency</f>
        <v>$'m</v>
      </c>
      <c r="I74" s="17">
        <v>6.9</v>
      </c>
      <c r="J74" s="17">
        <v>8.9</v>
      </c>
      <c r="K74" s="17">
        <v>2.5</v>
      </c>
      <c r="L74" s="2">
        <f>Assumptions!L144</f>
        <v>0</v>
      </c>
      <c r="M74" s="2">
        <f>Assumptions!M144</f>
        <v>0</v>
      </c>
      <c r="N74" s="2">
        <f>Assumptions!N144</f>
        <v>0</v>
      </c>
      <c r="O74" s="2">
        <f>Assumptions!O144</f>
        <v>0</v>
      </c>
      <c r="P74" s="2">
        <f>Assumptions!P144</f>
        <v>0</v>
      </c>
    </row>
    <row r="75" spans="2:16">
      <c r="D75" s="2" t="s">
        <v>28</v>
      </c>
      <c r="E75" s="101" t="str">
        <f>Currency</f>
        <v>$'m</v>
      </c>
      <c r="I75" s="85">
        <v>0</v>
      </c>
      <c r="J75" s="85">
        <v>0</v>
      </c>
      <c r="K75" s="85">
        <v>0</v>
      </c>
      <c r="L75" s="2">
        <f>Assumptions!L142</f>
        <v>0</v>
      </c>
      <c r="M75" s="2">
        <f>Assumptions!M142</f>
        <v>0</v>
      </c>
      <c r="N75" s="2">
        <f>Assumptions!N142</f>
        <v>0</v>
      </c>
      <c r="O75" s="2">
        <f>Assumptions!O142</f>
        <v>0</v>
      </c>
      <c r="P75" s="2">
        <f>Assumptions!P142</f>
        <v>0</v>
      </c>
    </row>
    <row r="76" spans="2:16">
      <c r="D76" s="9" t="s">
        <v>22</v>
      </c>
      <c r="E76" s="101" t="str">
        <f>Currency</f>
        <v>$'m</v>
      </c>
      <c r="G76" s="37"/>
      <c r="H76" s="37"/>
      <c r="I76" s="90">
        <f t="shared" ref="I76:P76" si="33">SUM(I73:I75)</f>
        <v>-213.29999999999998</v>
      </c>
      <c r="J76" s="90">
        <f t="shared" si="33"/>
        <v>-242.79999999999998</v>
      </c>
      <c r="K76" s="90">
        <f t="shared" si="33"/>
        <v>-204.9</v>
      </c>
      <c r="L76" s="90">
        <f t="shared" si="33"/>
        <v>-225</v>
      </c>
      <c r="M76" s="90">
        <f t="shared" si="33"/>
        <v>-225</v>
      </c>
      <c r="N76" s="90">
        <f t="shared" si="33"/>
        <v>-225</v>
      </c>
      <c r="O76" s="90">
        <f t="shared" si="33"/>
        <v>-225</v>
      </c>
      <c r="P76" s="90">
        <f t="shared" si="33"/>
        <v>-225</v>
      </c>
    </row>
    <row r="77" spans="2:16">
      <c r="B77" s="19"/>
      <c r="C77" s="19"/>
      <c r="E77" s="101"/>
      <c r="G77" s="33"/>
      <c r="H77" s="33"/>
      <c r="I77" s="33"/>
      <c r="J77" s="33"/>
      <c r="K77" s="33"/>
    </row>
    <row r="78" spans="2:16">
      <c r="B78" s="19"/>
      <c r="C78" s="19"/>
      <c r="E78" s="101"/>
      <c r="G78" s="33"/>
      <c r="H78" s="33"/>
      <c r="I78" s="39"/>
      <c r="J78" s="39"/>
      <c r="K78" s="39"/>
    </row>
    <row r="79" spans="2:16">
      <c r="B79" s="19" t="s">
        <v>23</v>
      </c>
      <c r="C79" s="19"/>
      <c r="E79" s="101"/>
      <c r="G79" s="33"/>
      <c r="H79" s="33"/>
      <c r="I79" s="33"/>
      <c r="J79" s="33"/>
      <c r="K79" s="33"/>
    </row>
    <row r="80" spans="2:16">
      <c r="B80" s="19"/>
      <c r="C80" s="19"/>
      <c r="D80" s="2" t="str">
        <f>D359</f>
        <v>Issue of Revolver / (Repayment)</v>
      </c>
      <c r="E80" s="101"/>
      <c r="G80" s="33"/>
      <c r="H80" s="33"/>
      <c r="I80" s="131">
        <v>0</v>
      </c>
      <c r="J80" s="131">
        <v>0</v>
      </c>
      <c r="K80" s="131">
        <v>0</v>
      </c>
      <c r="L80" s="2">
        <f ca="1">L359</f>
        <v>0</v>
      </c>
      <c r="M80" s="2">
        <f t="shared" ref="M80:P80" ca="1" si="34">M359</f>
        <v>0</v>
      </c>
      <c r="N80" s="2">
        <f t="shared" ca="1" si="34"/>
        <v>0</v>
      </c>
      <c r="O80" s="2">
        <f t="shared" ca="1" si="34"/>
        <v>0</v>
      </c>
      <c r="P80" s="2">
        <f t="shared" ca="1" si="34"/>
        <v>0</v>
      </c>
    </row>
    <row r="81" spans="2:16">
      <c r="B81" s="19"/>
      <c r="C81" s="19"/>
      <c r="D81" s="18" t="s">
        <v>49</v>
      </c>
      <c r="E81" s="154" t="str">
        <f>Currency</f>
        <v>$'m</v>
      </c>
      <c r="G81" s="37"/>
      <c r="H81" s="37"/>
      <c r="I81" s="17">
        <v>-25</v>
      </c>
      <c r="J81" s="17">
        <v>90.1</v>
      </c>
      <c r="K81" s="17">
        <v>-29</v>
      </c>
      <c r="L81" s="2">
        <f>-L341</f>
        <v>-75</v>
      </c>
      <c r="M81" s="2">
        <f t="shared" ref="M81:P81" si="35">-M341</f>
        <v>-75</v>
      </c>
      <c r="N81" s="2">
        <f t="shared" si="35"/>
        <v>-75</v>
      </c>
      <c r="O81" s="2">
        <f t="shared" si="35"/>
        <v>-75</v>
      </c>
      <c r="P81" s="2">
        <f t="shared" si="35"/>
        <v>-75</v>
      </c>
    </row>
    <row r="82" spans="2:16">
      <c r="B82" s="19"/>
      <c r="C82" s="19"/>
      <c r="D82" s="18" t="s">
        <v>50</v>
      </c>
      <c r="E82" s="154" t="str">
        <f>Currency</f>
        <v>$'m</v>
      </c>
      <c r="G82" s="37"/>
      <c r="H82" s="37"/>
      <c r="I82" s="17">
        <v>-235</v>
      </c>
      <c r="J82" s="17">
        <v>115</v>
      </c>
      <c r="K82" s="17">
        <v>-130</v>
      </c>
      <c r="L82" s="2">
        <f>-L318</f>
        <v>-150</v>
      </c>
      <c r="M82" s="2">
        <f t="shared" ref="M82:P82" si="36">-M318</f>
        <v>-150</v>
      </c>
      <c r="N82" s="2">
        <f t="shared" si="36"/>
        <v>-150</v>
      </c>
      <c r="O82" s="2">
        <f t="shared" si="36"/>
        <v>-150</v>
      </c>
      <c r="P82" s="2">
        <f t="shared" si="36"/>
        <v>-150</v>
      </c>
    </row>
    <row r="83" spans="2:16">
      <c r="B83" s="19"/>
      <c r="C83" s="19"/>
      <c r="D83" s="18" t="str">
        <f>D291</f>
        <v>Issuance of Preferred Shares</v>
      </c>
      <c r="E83" s="154"/>
      <c r="G83" s="37"/>
      <c r="H83" s="37"/>
      <c r="I83" s="17">
        <v>0</v>
      </c>
      <c r="J83" s="17">
        <v>0</v>
      </c>
      <c r="K83" s="17">
        <v>0</v>
      </c>
      <c r="L83" s="123">
        <f t="shared" ref="L83" si="37">L291</f>
        <v>0</v>
      </c>
      <c r="M83" s="123">
        <f t="shared" ref="M83:P83" si="38">M291</f>
        <v>50</v>
      </c>
      <c r="N83" s="123">
        <f t="shared" si="38"/>
        <v>0</v>
      </c>
      <c r="O83" s="123">
        <f t="shared" si="38"/>
        <v>0</v>
      </c>
      <c r="P83" s="123">
        <f t="shared" si="38"/>
        <v>0</v>
      </c>
    </row>
    <row r="84" spans="2:16">
      <c r="D84" s="2" t="s">
        <v>60</v>
      </c>
      <c r="E84" s="101" t="str">
        <f>Currency</f>
        <v>$'m</v>
      </c>
      <c r="I84" s="17">
        <v>-11.6</v>
      </c>
      <c r="J84" s="17">
        <v>-338.6</v>
      </c>
      <c r="K84" s="17">
        <v>-264</v>
      </c>
      <c r="L84" s="2">
        <f>L301</f>
        <v>-100</v>
      </c>
      <c r="M84" s="2">
        <f t="shared" ref="M84:P84" si="39">M301</f>
        <v>-100</v>
      </c>
      <c r="N84" s="2">
        <f t="shared" si="39"/>
        <v>0</v>
      </c>
      <c r="O84" s="2">
        <f t="shared" si="39"/>
        <v>0</v>
      </c>
      <c r="P84" s="2">
        <f t="shared" si="39"/>
        <v>0</v>
      </c>
    </row>
    <row r="85" spans="2:16">
      <c r="D85" s="2" t="str">
        <f>D294</f>
        <v>Preferred Shares Dividend</v>
      </c>
      <c r="E85" s="101"/>
      <c r="I85" s="17">
        <v>0</v>
      </c>
      <c r="J85" s="17">
        <v>0</v>
      </c>
      <c r="K85" s="17">
        <v>0</v>
      </c>
      <c r="L85" s="2">
        <f>-L294</f>
        <v>0</v>
      </c>
      <c r="M85" s="2">
        <f t="shared" ref="M85:P85" si="40">-M294</f>
        <v>-2.3125</v>
      </c>
      <c r="N85" s="2">
        <f t="shared" si="40"/>
        <v>-4.625</v>
      </c>
      <c r="O85" s="2">
        <f t="shared" si="40"/>
        <v>-4.625</v>
      </c>
      <c r="P85" s="2">
        <f t="shared" si="40"/>
        <v>-4.625</v>
      </c>
    </row>
    <row r="86" spans="2:16">
      <c r="B86" s="19"/>
      <c r="C86" s="19"/>
      <c r="D86" s="2" t="s">
        <v>54</v>
      </c>
      <c r="E86" s="101" t="str">
        <f>Currency</f>
        <v>$'m</v>
      </c>
      <c r="G86" s="37"/>
      <c r="H86" s="37"/>
      <c r="I86" s="17">
        <v>-115.4</v>
      </c>
      <c r="J86" s="17">
        <v>-108.2</v>
      </c>
      <c r="K86" s="17">
        <v>-96.3</v>
      </c>
      <c r="L86" s="2">
        <f ca="1">-L307</f>
        <v>-211.47505537259036</v>
      </c>
      <c r="M86" s="2">
        <f t="shared" ref="M86:P86" ca="1" si="41">-M307</f>
        <v>-219.22724372405523</v>
      </c>
      <c r="N86" s="2">
        <f t="shared" ca="1" si="41"/>
        <v>-227.40017206152788</v>
      </c>
      <c r="O86" s="2">
        <f t="shared" ca="1" si="41"/>
        <v>-236.33651633655606</v>
      </c>
      <c r="P86" s="2">
        <f t="shared" ca="1" si="41"/>
        <v>-234.00696743507206</v>
      </c>
    </row>
    <row r="87" spans="2:16">
      <c r="B87" s="19"/>
      <c r="C87" s="19"/>
      <c r="D87" s="2" t="s">
        <v>28</v>
      </c>
      <c r="E87" s="101" t="str">
        <f>Currency</f>
        <v>$'m</v>
      </c>
      <c r="G87" s="37"/>
      <c r="H87" s="37"/>
      <c r="I87" s="85">
        <v>0.2</v>
      </c>
      <c r="J87" s="85">
        <v>-0.7</v>
      </c>
      <c r="K87" s="85">
        <v>0.6</v>
      </c>
      <c r="L87" s="2">
        <f>Assumptions!L143</f>
        <v>0</v>
      </c>
      <c r="M87" s="2">
        <f>Assumptions!M143</f>
        <v>0</v>
      </c>
      <c r="N87" s="2">
        <f>Assumptions!N143</f>
        <v>0</v>
      </c>
      <c r="O87" s="2">
        <f>Assumptions!O143</f>
        <v>0</v>
      </c>
      <c r="P87" s="2">
        <f>Assumptions!P143</f>
        <v>0</v>
      </c>
    </row>
    <row r="88" spans="2:16">
      <c r="B88" s="19"/>
      <c r="C88" s="19"/>
      <c r="D88" s="9" t="s">
        <v>24</v>
      </c>
      <c r="E88" s="101" t="str">
        <f>Currency</f>
        <v>$'m</v>
      </c>
      <c r="G88" s="37"/>
      <c r="H88" s="37"/>
      <c r="I88" s="90">
        <f>SUM(I80:I87)</f>
        <v>-386.8</v>
      </c>
      <c r="J88" s="90">
        <f t="shared" ref="J88:P88" si="42">SUM(J80:J87)</f>
        <v>-242.40000000000003</v>
      </c>
      <c r="K88" s="90">
        <f t="shared" si="42"/>
        <v>-518.69999999999993</v>
      </c>
      <c r="L88" s="90">
        <f t="shared" ca="1" si="42"/>
        <v>-536.4750553725903</v>
      </c>
      <c r="M88" s="90">
        <f t="shared" ca="1" si="42"/>
        <v>-496.53974372405526</v>
      </c>
      <c r="N88" s="90">
        <f t="shared" ca="1" si="42"/>
        <v>-457.02517206152788</v>
      </c>
      <c r="O88" s="90">
        <f t="shared" ca="1" si="42"/>
        <v>-465.96151633655609</v>
      </c>
      <c r="P88" s="90">
        <f t="shared" ca="1" si="42"/>
        <v>-463.63196743507206</v>
      </c>
    </row>
    <row r="89" spans="2:16">
      <c r="B89" s="19"/>
      <c r="C89" s="19"/>
      <c r="D89" s="9"/>
      <c r="E89" s="101"/>
      <c r="G89" s="37"/>
      <c r="H89" s="37"/>
    </row>
    <row r="90" spans="2:16">
      <c r="D90" s="11" t="s">
        <v>43</v>
      </c>
      <c r="E90" s="153" t="str">
        <f>Currency</f>
        <v>$'m</v>
      </c>
      <c r="G90" s="37"/>
      <c r="H90" s="37"/>
      <c r="I90" s="40">
        <f>I88+I76+I69</f>
        <v>-103.60000000000008</v>
      </c>
      <c r="J90" s="40">
        <f>J88+J76+J69</f>
        <v>-77.600000000000364</v>
      </c>
      <c r="K90" s="40">
        <f>K88+K76+K69</f>
        <v>-314.59999999999991</v>
      </c>
      <c r="L90" s="40">
        <f t="shared" ref="L90:P90" ca="1" si="43">L88+L76+L69</f>
        <v>-186.37331864640805</v>
      </c>
      <c r="M90" s="40">
        <f t="shared" ca="1" si="43"/>
        <v>-104.43100693835606</v>
      </c>
      <c r="N90" s="40">
        <f t="shared" ca="1" si="43"/>
        <v>-25.078100898881985</v>
      </c>
      <c r="O90" s="40">
        <f t="shared" ca="1" si="43"/>
        <v>0.87557668937517974</v>
      </c>
      <c r="P90" s="40">
        <f t="shared" ca="1" si="43"/>
        <v>30.956268192072002</v>
      </c>
    </row>
    <row r="91" spans="2:16">
      <c r="D91" s="11" t="s">
        <v>44</v>
      </c>
      <c r="E91" s="153" t="str">
        <f>Currency</f>
        <v>$'m</v>
      </c>
      <c r="G91" s="37"/>
      <c r="H91" s="37"/>
      <c r="I91" s="85">
        <v>905.4</v>
      </c>
      <c r="J91" s="91">
        <f>I92</f>
        <v>801.8</v>
      </c>
      <c r="K91" s="91">
        <f>J92</f>
        <v>724.19999999999959</v>
      </c>
      <c r="L91" s="91">
        <f t="shared" ref="L91:P91" si="44">K92</f>
        <v>409.59999999999968</v>
      </c>
      <c r="M91" s="91">
        <f t="shared" ca="1" si="44"/>
        <v>223.22668135359163</v>
      </c>
      <c r="N91" s="91">
        <f t="shared" ca="1" si="44"/>
        <v>118.79567441523557</v>
      </c>
      <c r="O91" s="91">
        <f t="shared" ca="1" si="44"/>
        <v>93.717573516353582</v>
      </c>
      <c r="P91" s="91">
        <f t="shared" ca="1" si="44"/>
        <v>94.593150205728762</v>
      </c>
    </row>
    <row r="92" spans="2:16">
      <c r="D92" s="13" t="s">
        <v>45</v>
      </c>
      <c r="E92" s="153" t="str">
        <f>Currency</f>
        <v>$'m</v>
      </c>
      <c r="G92" s="37"/>
      <c r="H92" s="37"/>
      <c r="I92" s="84">
        <f>I91+I90</f>
        <v>801.8</v>
      </c>
      <c r="J92" s="84">
        <f t="shared" ref="J92:P92" si="45">J91+J90</f>
        <v>724.19999999999959</v>
      </c>
      <c r="K92" s="84">
        <f t="shared" si="45"/>
        <v>409.59999999999968</v>
      </c>
      <c r="L92" s="84">
        <f t="shared" ca="1" si="45"/>
        <v>223.22668135359163</v>
      </c>
      <c r="M92" s="84">
        <f t="shared" ca="1" si="45"/>
        <v>118.79567441523557</v>
      </c>
      <c r="N92" s="84">
        <f t="shared" ca="1" si="45"/>
        <v>93.717573516353582</v>
      </c>
      <c r="O92" s="84">
        <f t="shared" ca="1" si="45"/>
        <v>94.593150205728762</v>
      </c>
      <c r="P92" s="84">
        <f t="shared" ca="1" si="45"/>
        <v>125.54941839780076</v>
      </c>
    </row>
    <row r="93" spans="2:16">
      <c r="B93" s="25"/>
      <c r="C93" s="25"/>
      <c r="D93" s="25"/>
      <c r="E93" s="156"/>
      <c r="F93" s="25"/>
      <c r="G93" s="25"/>
      <c r="H93" s="25"/>
      <c r="I93" s="25"/>
      <c r="J93" s="25"/>
      <c r="K93" s="92"/>
    </row>
    <row r="94" spans="2:16">
      <c r="E94" s="101"/>
      <c r="K94" s="89"/>
      <c r="L94" s="89"/>
      <c r="M94" s="89"/>
      <c r="N94" s="89"/>
      <c r="O94" s="89"/>
      <c r="P94" s="89"/>
    </row>
    <row r="95" spans="2:16">
      <c r="E95" s="101"/>
    </row>
    <row r="96" spans="2:16" ht="23.5">
      <c r="B96" s="1" t="str">
        <f>$B$8</f>
        <v>Farley-Jamieson Inc.</v>
      </c>
      <c r="C96" s="1"/>
      <c r="D96" s="29"/>
      <c r="E96" s="149"/>
      <c r="F96" s="29"/>
      <c r="G96" s="29"/>
      <c r="H96" s="29"/>
      <c r="I96" s="29"/>
      <c r="J96" s="29"/>
      <c r="K96" s="29"/>
    </row>
    <row r="97" spans="2:16" ht="18.5">
      <c r="B97" s="3" t="s">
        <v>25</v>
      </c>
      <c r="C97" s="3"/>
      <c r="D97" s="29"/>
      <c r="E97" s="149"/>
      <c r="F97" s="29"/>
      <c r="G97" s="29"/>
      <c r="H97" s="29"/>
      <c r="I97" s="29"/>
      <c r="J97" s="29"/>
      <c r="K97" s="29"/>
    </row>
    <row r="98" spans="2:16" ht="6" customHeight="1" thickBot="1">
      <c r="B98" s="4"/>
      <c r="C98" s="4"/>
      <c r="D98" s="30"/>
      <c r="E98" s="15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</row>
    <row r="99" spans="2:16">
      <c r="B99" s="5" t="str">
        <f>$B$11</f>
        <v>Millions for the Year Ended December 31</v>
      </c>
      <c r="C99" s="5"/>
      <c r="E99" s="101"/>
      <c r="F99" s="9"/>
      <c r="I99" s="41"/>
      <c r="J99" s="41"/>
      <c r="K99" s="41"/>
    </row>
    <row r="100" spans="2:16">
      <c r="B100" s="42"/>
      <c r="C100" s="42"/>
      <c r="E100" s="101"/>
      <c r="G100" s="32"/>
      <c r="H100" s="32"/>
      <c r="I100" s="8">
        <f>I$13</f>
        <v>2021</v>
      </c>
      <c r="J100" s="8">
        <f t="shared" ref="J100:K100" si="46">J$13</f>
        <v>2022</v>
      </c>
      <c r="K100" s="8">
        <f t="shared" si="46"/>
        <v>2023</v>
      </c>
    </row>
    <row r="101" spans="2:16">
      <c r="B101" s="9" t="s">
        <v>26</v>
      </c>
      <c r="C101" s="9"/>
      <c r="E101" s="101"/>
    </row>
    <row r="102" spans="2:16">
      <c r="D102" s="2" t="s">
        <v>46</v>
      </c>
      <c r="E102" s="101" t="str">
        <f>Currency</f>
        <v>$'m</v>
      </c>
      <c r="G102" s="35"/>
      <c r="H102" s="35"/>
      <c r="I102" s="43">
        <v>801.8</v>
      </c>
      <c r="J102" s="43">
        <v>724.20000000000027</v>
      </c>
      <c r="K102" s="43">
        <v>409.6</v>
      </c>
      <c r="L102" s="2">
        <f ca="1">L92</f>
        <v>223.22668135359163</v>
      </c>
      <c r="M102" s="2">
        <f t="shared" ref="M102:P102" ca="1" si="47">M92</f>
        <v>118.79567441523557</v>
      </c>
      <c r="N102" s="2">
        <f t="shared" ca="1" si="47"/>
        <v>93.717573516353582</v>
      </c>
      <c r="O102" s="2">
        <f t="shared" ca="1" si="47"/>
        <v>94.593150205728762</v>
      </c>
      <c r="P102" s="2">
        <f t="shared" ca="1" si="47"/>
        <v>125.54941839780076</v>
      </c>
    </row>
    <row r="103" spans="2:16">
      <c r="D103" s="2" t="s">
        <v>27</v>
      </c>
      <c r="E103" s="101" t="str">
        <f>Currency</f>
        <v>$'m</v>
      </c>
      <c r="G103" s="35"/>
      <c r="H103" s="35"/>
      <c r="I103" s="17">
        <v>787.2</v>
      </c>
      <c r="J103" s="17">
        <v>882.6</v>
      </c>
      <c r="K103" s="17">
        <v>869.2</v>
      </c>
      <c r="L103" s="2">
        <f>L261</f>
        <v>935.9875115743298</v>
      </c>
      <c r="M103" s="2">
        <f t="shared" ref="M103:P103" si="48">M261</f>
        <v>975.75873826476686</v>
      </c>
      <c r="N103" s="2">
        <f t="shared" si="48"/>
        <v>1014.2393645625322</v>
      </c>
      <c r="O103" s="2">
        <f t="shared" si="48"/>
        <v>1054.0341729637705</v>
      </c>
      <c r="P103" s="2">
        <f t="shared" si="48"/>
        <v>1079.3793593597045</v>
      </c>
    </row>
    <row r="104" spans="2:16">
      <c r="D104" s="2" t="s">
        <v>66</v>
      </c>
      <c r="E104" s="101" t="str">
        <f>Currency</f>
        <v>$'m</v>
      </c>
      <c r="G104" s="35"/>
      <c r="H104" s="35"/>
      <c r="I104" s="17">
        <v>915.9</v>
      </c>
      <c r="J104" s="17">
        <v>951</v>
      </c>
      <c r="K104" s="17">
        <v>929.9</v>
      </c>
      <c r="L104" s="2">
        <f t="shared" ref="L104:P105" si="49">L262</f>
        <v>971.82444643749307</v>
      </c>
      <c r="M104" s="2">
        <f t="shared" si="49"/>
        <v>1018.9257456103059</v>
      </c>
      <c r="N104" s="2">
        <f t="shared" si="49"/>
        <v>1065.5453068029694</v>
      </c>
      <c r="O104" s="2">
        <f t="shared" si="49"/>
        <v>1114.4583420583708</v>
      </c>
      <c r="P104" s="2">
        <f t="shared" si="49"/>
        <v>1154.0161546557722</v>
      </c>
    </row>
    <row r="105" spans="2:16">
      <c r="D105" s="18" t="s">
        <v>28</v>
      </c>
      <c r="E105" s="154" t="str">
        <f>Currency</f>
        <v>$'m</v>
      </c>
      <c r="G105" s="35"/>
      <c r="H105" s="35"/>
      <c r="I105" s="85">
        <v>185.8</v>
      </c>
      <c r="J105" s="85">
        <v>181.3</v>
      </c>
      <c r="K105" s="85">
        <v>183.7</v>
      </c>
      <c r="L105" s="2">
        <f t="shared" si="49"/>
        <v>191.48617114494411</v>
      </c>
      <c r="M105" s="2">
        <f t="shared" si="49"/>
        <v>200.76690849171197</v>
      </c>
      <c r="N105" s="2">
        <f t="shared" si="49"/>
        <v>209.95272523666534</v>
      </c>
      <c r="O105" s="2">
        <f t="shared" si="49"/>
        <v>219.59044311304609</v>
      </c>
      <c r="P105" s="2">
        <f t="shared" si="49"/>
        <v>227.38482830361542</v>
      </c>
    </row>
    <row r="106" spans="2:16">
      <c r="D106" s="13" t="s">
        <v>29</v>
      </c>
      <c r="E106" s="153" t="str">
        <f>Currency</f>
        <v>$'m</v>
      </c>
      <c r="G106" s="33"/>
      <c r="H106" s="33"/>
      <c r="I106" s="44">
        <f>SUM(I102:I105)</f>
        <v>2690.7000000000003</v>
      </c>
      <c r="J106" s="44">
        <f t="shared" ref="J106:P106" si="50">SUM(J102:J105)</f>
        <v>2739.1000000000004</v>
      </c>
      <c r="K106" s="44">
        <f t="shared" si="50"/>
        <v>2392.4</v>
      </c>
      <c r="L106" s="44">
        <f t="shared" ca="1" si="50"/>
        <v>2322.5248105103583</v>
      </c>
      <c r="M106" s="44">
        <f t="shared" ca="1" si="50"/>
        <v>2314.2470667820203</v>
      </c>
      <c r="N106" s="44">
        <f t="shared" ca="1" si="50"/>
        <v>2383.4549701185206</v>
      </c>
      <c r="O106" s="44">
        <f t="shared" ca="1" si="50"/>
        <v>2482.676108340916</v>
      </c>
      <c r="P106" s="44">
        <f t="shared" ca="1" si="50"/>
        <v>2586.3297607168929</v>
      </c>
    </row>
    <row r="107" spans="2:16" ht="10.9" customHeight="1">
      <c r="E107" s="101"/>
      <c r="G107" s="33"/>
      <c r="H107" s="33"/>
      <c r="I107" s="17"/>
      <c r="J107" s="17"/>
      <c r="K107" s="17"/>
    </row>
    <row r="108" spans="2:16">
      <c r="D108" s="2" t="s">
        <v>30</v>
      </c>
      <c r="E108" s="101" t="str">
        <f>Currency</f>
        <v>$'m</v>
      </c>
      <c r="G108" s="35"/>
      <c r="H108" s="35"/>
      <c r="I108" s="17">
        <v>1885.5</v>
      </c>
      <c r="J108" s="17">
        <v>1985.2999999999997</v>
      </c>
      <c r="K108" s="17">
        <v>2034.6</v>
      </c>
      <c r="L108" s="2">
        <f>L230</f>
        <v>2241.35</v>
      </c>
      <c r="M108" s="2">
        <f t="shared" ref="M108:P108" si="51">M230</f>
        <v>2435.6</v>
      </c>
      <c r="N108" s="2">
        <f t="shared" si="51"/>
        <v>2617.35</v>
      </c>
      <c r="O108" s="2">
        <f t="shared" si="51"/>
        <v>2786.6</v>
      </c>
      <c r="P108" s="2">
        <f t="shared" si="51"/>
        <v>2943.35</v>
      </c>
    </row>
    <row r="109" spans="2:16">
      <c r="D109" s="2" t="s">
        <v>31</v>
      </c>
      <c r="E109" s="101" t="str">
        <f>Currency</f>
        <v>$'m</v>
      </c>
      <c r="G109" s="35"/>
      <c r="H109" s="35"/>
      <c r="I109" s="17">
        <v>465.7</v>
      </c>
      <c r="J109" s="17">
        <v>463</v>
      </c>
      <c r="K109" s="17">
        <v>460.6</v>
      </c>
      <c r="L109" s="2">
        <f>K109+Assumptions!L149</f>
        <v>460.6</v>
      </c>
      <c r="M109" s="2">
        <f>L109+Assumptions!M149</f>
        <v>460.6</v>
      </c>
      <c r="N109" s="2">
        <f>M109+Assumptions!N149</f>
        <v>460.6</v>
      </c>
      <c r="O109" s="2">
        <f>N109+Assumptions!O149</f>
        <v>460.6</v>
      </c>
      <c r="P109" s="2">
        <f>O109+Assumptions!P149</f>
        <v>460.6</v>
      </c>
    </row>
    <row r="110" spans="2:16">
      <c r="D110" s="2" t="s">
        <v>32</v>
      </c>
      <c r="E110" s="101" t="str">
        <f>Currency</f>
        <v>$'m</v>
      </c>
      <c r="G110" s="35"/>
      <c r="H110" s="35"/>
      <c r="I110" s="17">
        <v>330.7</v>
      </c>
      <c r="J110" s="17">
        <v>335.4</v>
      </c>
      <c r="K110" s="17">
        <v>333.5</v>
      </c>
      <c r="L110" s="2">
        <f>K110+Assumptions!L145</f>
        <v>333.5</v>
      </c>
      <c r="M110" s="2">
        <f>L110+Assumptions!M145</f>
        <v>333.5</v>
      </c>
      <c r="N110" s="2">
        <f>M110+Assumptions!N145</f>
        <v>333.5</v>
      </c>
      <c r="O110" s="2">
        <f>N110+Assumptions!O145</f>
        <v>333.5</v>
      </c>
      <c r="P110" s="2">
        <f>O110+Assumptions!P145</f>
        <v>333.5</v>
      </c>
    </row>
    <row r="111" spans="2:16">
      <c r="D111" s="18" t="s">
        <v>28</v>
      </c>
      <c r="E111" s="154" t="str">
        <f>Currency</f>
        <v>$'m</v>
      </c>
      <c r="G111" s="35"/>
      <c r="H111" s="35"/>
      <c r="I111" s="17">
        <v>176.4</v>
      </c>
      <c r="J111" s="17">
        <v>170.2</v>
      </c>
      <c r="K111" s="17">
        <v>170.9</v>
      </c>
      <c r="L111" s="2">
        <f>K111+Assumptions!L146</f>
        <v>170.9</v>
      </c>
      <c r="M111" s="2">
        <f>L111+Assumptions!M146</f>
        <v>170.9</v>
      </c>
      <c r="N111" s="2">
        <f>M111+Assumptions!N146</f>
        <v>170.9</v>
      </c>
      <c r="O111" s="2">
        <f>N111+Assumptions!O146</f>
        <v>170.9</v>
      </c>
      <c r="P111" s="2">
        <f>O111+Assumptions!P146</f>
        <v>170.9</v>
      </c>
    </row>
    <row r="112" spans="2:16">
      <c r="D112" s="19" t="s">
        <v>33</v>
      </c>
      <c r="E112" s="154" t="str">
        <f>Currency</f>
        <v>$'m</v>
      </c>
      <c r="G112" s="35"/>
      <c r="H112" s="35"/>
      <c r="I112" s="44">
        <f>SUM(I108:I111)</f>
        <v>2858.2999999999997</v>
      </c>
      <c r="J112" s="44">
        <f t="shared" ref="J112:P112" si="52">SUM(J108:J111)</f>
        <v>2953.8999999999996</v>
      </c>
      <c r="K112" s="44">
        <f t="shared" si="52"/>
        <v>2999.6</v>
      </c>
      <c r="L112" s="44">
        <f t="shared" si="52"/>
        <v>3206.35</v>
      </c>
      <c r="M112" s="44">
        <f t="shared" si="52"/>
        <v>3400.6</v>
      </c>
      <c r="N112" s="44">
        <f t="shared" si="52"/>
        <v>3582.35</v>
      </c>
      <c r="O112" s="44">
        <f t="shared" si="52"/>
        <v>3751.6</v>
      </c>
      <c r="P112" s="44">
        <f t="shared" si="52"/>
        <v>3908.35</v>
      </c>
    </row>
    <row r="113" spans="2:16" ht="10.9" customHeight="1">
      <c r="D113" s="18"/>
      <c r="E113" s="154"/>
      <c r="G113" s="33"/>
      <c r="H113" s="33"/>
      <c r="I113" s="45"/>
      <c r="J113" s="45"/>
      <c r="K113" s="45"/>
    </row>
    <row r="114" spans="2:16" ht="13.5" thickBot="1">
      <c r="D114" s="9" t="s">
        <v>34</v>
      </c>
      <c r="E114" s="101" t="str">
        <f>Currency</f>
        <v>$'m</v>
      </c>
      <c r="G114" s="37"/>
      <c r="H114" s="37"/>
      <c r="I114" s="46">
        <f>I106+I112</f>
        <v>5549</v>
      </c>
      <c r="J114" s="46">
        <f t="shared" ref="J114:P114" si="53">J106+J112</f>
        <v>5693</v>
      </c>
      <c r="K114" s="46">
        <f t="shared" si="53"/>
        <v>5392</v>
      </c>
      <c r="L114" s="46">
        <f t="shared" ca="1" si="53"/>
        <v>5528.8748105103587</v>
      </c>
      <c r="M114" s="46">
        <f t="shared" ca="1" si="53"/>
        <v>5714.8470667820202</v>
      </c>
      <c r="N114" s="46">
        <f t="shared" ca="1" si="53"/>
        <v>5965.8049701185209</v>
      </c>
      <c r="O114" s="46">
        <f t="shared" ca="1" si="53"/>
        <v>6234.2761083409159</v>
      </c>
      <c r="P114" s="46">
        <f t="shared" ca="1" si="53"/>
        <v>6494.6797607168928</v>
      </c>
    </row>
    <row r="115" spans="2:16" ht="13.5" thickTop="1">
      <c r="E115" s="101"/>
      <c r="G115" s="33"/>
      <c r="H115" s="33"/>
      <c r="I115" s="33"/>
      <c r="J115" s="33"/>
      <c r="K115" s="33"/>
    </row>
    <row r="116" spans="2:16">
      <c r="E116" s="101"/>
      <c r="G116" s="33"/>
      <c r="H116" s="33"/>
      <c r="I116" s="33"/>
      <c r="J116" s="33"/>
      <c r="K116" s="33"/>
    </row>
    <row r="117" spans="2:16">
      <c r="B117" s="13" t="s">
        <v>35</v>
      </c>
      <c r="C117" s="13"/>
      <c r="E117" s="101"/>
      <c r="G117" s="33"/>
      <c r="H117" s="33"/>
      <c r="I117" s="33"/>
      <c r="J117" s="33"/>
      <c r="K117" s="33"/>
    </row>
    <row r="118" spans="2:16">
      <c r="B118" s="13"/>
      <c r="C118" s="13"/>
      <c r="D118" s="2" t="s">
        <v>140</v>
      </c>
      <c r="E118" s="101" t="str">
        <f>Currency</f>
        <v>$'m</v>
      </c>
      <c r="G118" s="33"/>
      <c r="H118" s="33"/>
      <c r="I118" s="131">
        <v>0</v>
      </c>
      <c r="J118" s="131">
        <v>0</v>
      </c>
      <c r="K118" s="131">
        <v>0</v>
      </c>
      <c r="L118" s="2">
        <f ca="1">L360</f>
        <v>0</v>
      </c>
      <c r="M118" s="2">
        <f t="shared" ref="M118:P118" ca="1" si="54">M360</f>
        <v>0</v>
      </c>
      <c r="N118" s="2">
        <f t="shared" ca="1" si="54"/>
        <v>0</v>
      </c>
      <c r="O118" s="2">
        <f t="shared" ca="1" si="54"/>
        <v>0</v>
      </c>
      <c r="P118" s="2">
        <f t="shared" ca="1" si="54"/>
        <v>0</v>
      </c>
    </row>
    <row r="119" spans="2:16">
      <c r="D119" s="18" t="s">
        <v>36</v>
      </c>
      <c r="E119" s="154" t="str">
        <f>Currency</f>
        <v>$'m</v>
      </c>
      <c r="G119" s="35"/>
      <c r="H119" s="35"/>
      <c r="I119" s="34">
        <v>375</v>
      </c>
      <c r="J119" s="34">
        <v>378</v>
      </c>
      <c r="K119" s="34">
        <v>349.2</v>
      </c>
      <c r="L119" s="2">
        <f>L266</f>
        <v>383.08164903662163</v>
      </c>
      <c r="M119" s="2">
        <f t="shared" ref="M119:P119" si="55">M266</f>
        <v>401.64842148717338</v>
      </c>
      <c r="N119" s="2">
        <f t="shared" si="55"/>
        <v>420.02529855022425</v>
      </c>
      <c r="O119" s="2">
        <f t="shared" si="55"/>
        <v>439.30623583649441</v>
      </c>
      <c r="P119" s="2">
        <f t="shared" si="55"/>
        <v>454.899455514848</v>
      </c>
    </row>
    <row r="120" spans="2:16">
      <c r="D120" s="18" t="s">
        <v>28</v>
      </c>
      <c r="E120" s="154" t="str">
        <f>Currency</f>
        <v>$'m</v>
      </c>
      <c r="G120" s="35"/>
      <c r="H120" s="35"/>
      <c r="I120" s="85">
        <v>4.9000000000000004</v>
      </c>
      <c r="J120" s="85">
        <v>5.8</v>
      </c>
      <c r="K120" s="85">
        <v>5.3</v>
      </c>
      <c r="L120" s="2">
        <f>L267</f>
        <v>5.5537729246405734</v>
      </c>
      <c r="M120" s="2">
        <f t="shared" ref="M120:P120" si="56">M267</f>
        <v>5.8229469725051821</v>
      </c>
      <c r="N120" s="2">
        <f t="shared" si="56"/>
        <v>6.0893679888312962</v>
      </c>
      <c r="O120" s="2">
        <f t="shared" si="56"/>
        <v>6.3688957284958585</v>
      </c>
      <c r="P120" s="2">
        <f t="shared" si="56"/>
        <v>6.5949603324135833</v>
      </c>
    </row>
    <row r="121" spans="2:16">
      <c r="D121" s="13" t="s">
        <v>37</v>
      </c>
      <c r="E121" s="153" t="str">
        <f>Currency</f>
        <v>$'m</v>
      </c>
      <c r="G121" s="33"/>
      <c r="H121" s="33"/>
      <c r="I121" s="44">
        <f>SUM(I118:I120)</f>
        <v>379.9</v>
      </c>
      <c r="J121" s="44">
        <f t="shared" ref="J121:P121" si="57">SUM(J118:J120)</f>
        <v>383.8</v>
      </c>
      <c r="K121" s="44">
        <f t="shared" si="57"/>
        <v>354.5</v>
      </c>
      <c r="L121" s="44">
        <f t="shared" ca="1" si="57"/>
        <v>388.63542196126218</v>
      </c>
      <c r="M121" s="44">
        <f t="shared" ca="1" si="57"/>
        <v>407.47136845967856</v>
      </c>
      <c r="N121" s="44">
        <f t="shared" ca="1" si="57"/>
        <v>426.11466653905552</v>
      </c>
      <c r="O121" s="44">
        <f t="shared" ca="1" si="57"/>
        <v>445.67513156499029</v>
      </c>
      <c r="P121" s="44">
        <f t="shared" ca="1" si="57"/>
        <v>461.49441584726156</v>
      </c>
    </row>
    <row r="122" spans="2:16" ht="10.9" customHeight="1">
      <c r="E122" s="101"/>
      <c r="G122" s="33"/>
      <c r="H122" s="33"/>
      <c r="I122" s="33"/>
      <c r="J122" s="33"/>
      <c r="K122" s="33"/>
    </row>
    <row r="123" spans="2:16">
      <c r="D123" s="18" t="s">
        <v>47</v>
      </c>
      <c r="E123" s="154" t="str">
        <f>Currency</f>
        <v>$'m</v>
      </c>
      <c r="G123" s="47"/>
      <c r="H123" s="47"/>
      <c r="I123" s="17">
        <v>802.5</v>
      </c>
      <c r="J123" s="17">
        <v>892.6</v>
      </c>
      <c r="K123" s="17">
        <v>863.6</v>
      </c>
      <c r="L123" s="2">
        <f>L342</f>
        <v>788.6</v>
      </c>
      <c r="M123" s="2">
        <f t="shared" ref="M123:P123" si="58">M342</f>
        <v>713.6</v>
      </c>
      <c r="N123" s="2">
        <f t="shared" si="58"/>
        <v>638.6</v>
      </c>
      <c r="O123" s="2">
        <f t="shared" si="58"/>
        <v>563.6</v>
      </c>
      <c r="P123" s="2">
        <f t="shared" si="58"/>
        <v>488.6</v>
      </c>
    </row>
    <row r="124" spans="2:16">
      <c r="D124" s="18" t="s">
        <v>48</v>
      </c>
      <c r="E124" s="154" t="str">
        <f>Currency</f>
        <v>$'m</v>
      </c>
      <c r="G124" s="47"/>
      <c r="H124" s="47"/>
      <c r="I124" s="17">
        <v>2455.6</v>
      </c>
      <c r="J124" s="17">
        <v>2570.6</v>
      </c>
      <c r="K124" s="17">
        <v>2440.6</v>
      </c>
      <c r="L124" s="2">
        <f>L319</f>
        <v>2290.6</v>
      </c>
      <c r="M124" s="2">
        <f t="shared" ref="M124:P124" si="59">M319</f>
        <v>2140.6</v>
      </c>
      <c r="N124" s="2">
        <f t="shared" si="59"/>
        <v>1990.6</v>
      </c>
      <c r="O124" s="2">
        <f t="shared" si="59"/>
        <v>1840.6</v>
      </c>
      <c r="P124" s="2">
        <f t="shared" si="59"/>
        <v>1690.6</v>
      </c>
    </row>
    <row r="125" spans="2:16">
      <c r="D125" s="2" t="s">
        <v>12</v>
      </c>
      <c r="E125" s="101" t="str">
        <f>Currency</f>
        <v>$'m</v>
      </c>
      <c r="G125" s="47"/>
      <c r="H125" s="47"/>
      <c r="I125" s="17">
        <v>99.3</v>
      </c>
      <c r="J125" s="17">
        <v>131.89999999999998</v>
      </c>
      <c r="K125" s="17">
        <v>110.6</v>
      </c>
      <c r="L125" s="2">
        <f>K125+L66</f>
        <v>145.6</v>
      </c>
      <c r="M125" s="2">
        <f t="shared" ref="M125:P125" si="60">L125+M66</f>
        <v>180.6</v>
      </c>
      <c r="N125" s="2">
        <f t="shared" si="60"/>
        <v>215.6</v>
      </c>
      <c r="O125" s="2">
        <f t="shared" si="60"/>
        <v>250.6</v>
      </c>
      <c r="P125" s="2">
        <f t="shared" si="60"/>
        <v>285.60000000000002</v>
      </c>
    </row>
    <row r="126" spans="2:16">
      <c r="D126" s="18" t="s">
        <v>28</v>
      </c>
      <c r="E126" s="154" t="str">
        <f>Currency</f>
        <v>$'m</v>
      </c>
      <c r="G126" s="47"/>
      <c r="H126" s="47"/>
      <c r="I126" s="85">
        <v>12.4</v>
      </c>
      <c r="J126" s="85">
        <v>11.4</v>
      </c>
      <c r="K126" s="85">
        <v>13</v>
      </c>
      <c r="L126" s="2">
        <f>K126+Assumptions!L147</f>
        <v>13</v>
      </c>
      <c r="M126" s="2">
        <f>L126+Assumptions!M147</f>
        <v>13</v>
      </c>
      <c r="N126" s="2">
        <f>M126+Assumptions!N147</f>
        <v>13</v>
      </c>
      <c r="O126" s="2">
        <f>N126+Assumptions!O147</f>
        <v>13</v>
      </c>
      <c r="P126" s="2">
        <f>O126+Assumptions!P147</f>
        <v>13</v>
      </c>
    </row>
    <row r="127" spans="2:16">
      <c r="D127" s="19" t="s">
        <v>38</v>
      </c>
      <c r="E127" s="154" t="str">
        <f>Currency</f>
        <v>$'m</v>
      </c>
      <c r="G127" s="35"/>
      <c r="H127" s="35"/>
      <c r="I127" s="44">
        <f>SUM(I123:I126)</f>
        <v>3369.8</v>
      </c>
      <c r="J127" s="44">
        <f t="shared" ref="J127:P127" si="61">SUM(J123:J126)</f>
        <v>3606.5</v>
      </c>
      <c r="K127" s="44">
        <f t="shared" si="61"/>
        <v>3427.7999999999997</v>
      </c>
      <c r="L127" s="44">
        <f t="shared" si="61"/>
        <v>3237.7999999999997</v>
      </c>
      <c r="M127" s="44">
        <f t="shared" si="61"/>
        <v>3047.7999999999997</v>
      </c>
      <c r="N127" s="44">
        <f t="shared" si="61"/>
        <v>2857.7999999999997</v>
      </c>
      <c r="O127" s="44">
        <f t="shared" si="61"/>
        <v>2667.7999999999997</v>
      </c>
      <c r="P127" s="44">
        <f t="shared" si="61"/>
        <v>2477.7999999999997</v>
      </c>
    </row>
    <row r="128" spans="2:16" ht="10.9" customHeight="1">
      <c r="D128" s="13"/>
      <c r="E128" s="153"/>
      <c r="G128" s="33"/>
      <c r="H128" s="33"/>
      <c r="I128" s="45"/>
      <c r="J128" s="45"/>
      <c r="K128" s="45"/>
    </row>
    <row r="129" spans="2:16">
      <c r="D129" s="19" t="s">
        <v>39</v>
      </c>
      <c r="E129" s="154" t="str">
        <f>Currency</f>
        <v>$'m</v>
      </c>
      <c r="G129" s="37"/>
      <c r="H129" s="37"/>
      <c r="I129" s="15">
        <f>I121+I127</f>
        <v>3749.7000000000003</v>
      </c>
      <c r="J129" s="15">
        <f>J121+J127</f>
        <v>3990.3</v>
      </c>
      <c r="K129" s="15">
        <f>K121+K127</f>
        <v>3782.2999999999997</v>
      </c>
      <c r="L129" s="15">
        <f t="shared" ref="L129:P129" ca="1" si="62">L121+L127</f>
        <v>3626.4354219612619</v>
      </c>
      <c r="M129" s="15">
        <f t="shared" ca="1" si="62"/>
        <v>3455.2713684596783</v>
      </c>
      <c r="N129" s="15">
        <f t="shared" ca="1" si="62"/>
        <v>3283.9146665390554</v>
      </c>
      <c r="O129" s="15">
        <f t="shared" ca="1" si="62"/>
        <v>3113.4751315649901</v>
      </c>
      <c r="P129" s="15">
        <f t="shared" ca="1" si="62"/>
        <v>2939.2944158472615</v>
      </c>
    </row>
    <row r="130" spans="2:16" ht="10.9" customHeight="1">
      <c r="E130" s="101"/>
      <c r="G130" s="33"/>
      <c r="H130" s="33"/>
      <c r="I130" s="33"/>
      <c r="J130" s="33"/>
      <c r="K130" s="33"/>
    </row>
    <row r="131" spans="2:16" ht="10.9" customHeight="1">
      <c r="D131" s="2" t="s">
        <v>132</v>
      </c>
      <c r="E131" s="101" t="str">
        <f>Currency</f>
        <v>$'m</v>
      </c>
      <c r="G131" s="33"/>
      <c r="H131" s="33"/>
      <c r="I131" s="131">
        <v>0</v>
      </c>
      <c r="J131" s="131">
        <v>0</v>
      </c>
      <c r="K131" s="131">
        <v>0</v>
      </c>
      <c r="L131" s="2">
        <f>L292</f>
        <v>0</v>
      </c>
      <c r="M131" s="2">
        <f t="shared" ref="M131:P131" si="63">M292</f>
        <v>50</v>
      </c>
      <c r="N131" s="2">
        <f t="shared" si="63"/>
        <v>50</v>
      </c>
      <c r="O131" s="2">
        <f t="shared" si="63"/>
        <v>50</v>
      </c>
      <c r="P131" s="2">
        <f t="shared" si="63"/>
        <v>50</v>
      </c>
    </row>
    <row r="132" spans="2:16">
      <c r="D132" s="2" t="s">
        <v>53</v>
      </c>
      <c r="E132" s="101" t="str">
        <f>Currency</f>
        <v>$'m</v>
      </c>
      <c r="G132" s="33"/>
      <c r="H132" s="33"/>
      <c r="I132" s="17">
        <v>951.7</v>
      </c>
      <c r="J132" s="17">
        <v>613.1</v>
      </c>
      <c r="K132" s="17">
        <v>349.1</v>
      </c>
      <c r="L132" s="2">
        <f>L302</f>
        <v>249.10000000000002</v>
      </c>
      <c r="M132" s="2">
        <f t="shared" ref="M132:P132" si="64">M302</f>
        <v>149.10000000000002</v>
      </c>
      <c r="N132" s="2">
        <f t="shared" si="64"/>
        <v>149.10000000000002</v>
      </c>
      <c r="O132" s="2">
        <f t="shared" si="64"/>
        <v>149.10000000000002</v>
      </c>
      <c r="P132" s="2">
        <f t="shared" si="64"/>
        <v>149.10000000000002</v>
      </c>
    </row>
    <row r="133" spans="2:16">
      <c r="D133" s="2" t="s">
        <v>40</v>
      </c>
      <c r="E133" s="101" t="str">
        <f>Currency</f>
        <v>$'m</v>
      </c>
      <c r="G133" s="33"/>
      <c r="H133" s="33"/>
      <c r="I133" s="17">
        <v>842.4</v>
      </c>
      <c r="J133" s="17">
        <v>1083.6999999999996</v>
      </c>
      <c r="K133" s="17">
        <v>1254.6000000000008</v>
      </c>
      <c r="L133" s="2">
        <f ca="1">L308</f>
        <v>1647.3393885490973</v>
      </c>
      <c r="M133" s="2">
        <f t="shared" ref="M133:P133" ca="1" si="65">M308</f>
        <v>2054.4756983223424</v>
      </c>
      <c r="N133" s="2">
        <f t="shared" ca="1" si="65"/>
        <v>2476.7903035794657</v>
      </c>
      <c r="O133" s="2">
        <f t="shared" ca="1" si="65"/>
        <v>2915.7009767759268</v>
      </c>
      <c r="P133" s="2">
        <f t="shared" ca="1" si="65"/>
        <v>3350.2853448696319</v>
      </c>
    </row>
    <row r="134" spans="2:16">
      <c r="D134" s="2" t="s">
        <v>28</v>
      </c>
      <c r="E134" s="101" t="str">
        <f>Currency</f>
        <v>$'m</v>
      </c>
      <c r="G134" s="33"/>
      <c r="H134" s="33"/>
      <c r="I134" s="85">
        <v>5.2</v>
      </c>
      <c r="J134" s="85">
        <v>5.9</v>
      </c>
      <c r="K134" s="85">
        <v>6</v>
      </c>
      <c r="L134" s="2">
        <f>K134+Assumptions!L148</f>
        <v>6</v>
      </c>
      <c r="M134" s="2">
        <f>L134+Assumptions!M148</f>
        <v>6</v>
      </c>
      <c r="N134" s="2">
        <f>M134+Assumptions!N148</f>
        <v>6</v>
      </c>
      <c r="O134" s="2">
        <f>N134+Assumptions!O148</f>
        <v>6</v>
      </c>
      <c r="P134" s="2">
        <f>O134+Assumptions!P148</f>
        <v>6</v>
      </c>
    </row>
    <row r="135" spans="2:16">
      <c r="D135" s="13" t="s">
        <v>41</v>
      </c>
      <c r="E135" s="153" t="str">
        <f>Currency</f>
        <v>$'m</v>
      </c>
      <c r="G135" s="35"/>
      <c r="H135" s="35"/>
      <c r="I135" s="84">
        <f>SUM(I131:I134)</f>
        <v>1799.3</v>
      </c>
      <c r="J135" s="84">
        <f t="shared" ref="J135:P135" si="66">SUM(J131:J134)</f>
        <v>1702.6999999999998</v>
      </c>
      <c r="K135" s="84">
        <f t="shared" si="66"/>
        <v>1609.7000000000007</v>
      </c>
      <c r="L135" s="84">
        <f t="shared" ca="1" si="66"/>
        <v>1902.4393885490972</v>
      </c>
      <c r="M135" s="84">
        <f t="shared" ca="1" si="66"/>
        <v>2259.5756983223423</v>
      </c>
      <c r="N135" s="84">
        <f t="shared" ca="1" si="66"/>
        <v>2681.8903035794656</v>
      </c>
      <c r="O135" s="84">
        <f t="shared" ca="1" si="66"/>
        <v>3120.8009767759268</v>
      </c>
      <c r="P135" s="84">
        <f t="shared" ca="1" si="66"/>
        <v>3555.3853448696318</v>
      </c>
    </row>
    <row r="136" spans="2:16">
      <c r="E136" s="101"/>
      <c r="G136" s="33"/>
      <c r="H136" s="33"/>
      <c r="I136" s="33"/>
      <c r="J136" s="33"/>
      <c r="K136" s="33"/>
    </row>
    <row r="137" spans="2:16" ht="13.5" thickBot="1">
      <c r="B137" s="13" t="s">
        <v>42</v>
      </c>
      <c r="C137" s="13"/>
      <c r="E137" s="101" t="str">
        <f>Currency</f>
        <v>$'m</v>
      </c>
      <c r="G137" s="37"/>
      <c r="H137" s="37"/>
      <c r="I137" s="46">
        <f>I135+I129</f>
        <v>5549</v>
      </c>
      <c r="J137" s="46">
        <f t="shared" ref="J137:P137" si="67">J135+J129</f>
        <v>5693</v>
      </c>
      <c r="K137" s="46">
        <f t="shared" si="67"/>
        <v>5392</v>
      </c>
      <c r="L137" s="46">
        <f t="shared" ca="1" si="67"/>
        <v>5528.8748105103587</v>
      </c>
      <c r="M137" s="46">
        <f t="shared" ca="1" si="67"/>
        <v>5714.8470667820202</v>
      </c>
      <c r="N137" s="46">
        <f t="shared" ca="1" si="67"/>
        <v>5965.8049701185209</v>
      </c>
      <c r="O137" s="46">
        <f t="shared" ca="1" si="67"/>
        <v>6234.2761083409168</v>
      </c>
      <c r="P137" s="46">
        <f t="shared" ca="1" si="67"/>
        <v>6494.6797607168937</v>
      </c>
    </row>
    <row r="138" spans="2:16" ht="6" customHeight="1" thickTop="1">
      <c r="E138" s="101"/>
      <c r="G138" s="48"/>
      <c r="H138" s="48"/>
      <c r="I138" s="48"/>
      <c r="J138" s="48"/>
      <c r="K138" s="48"/>
    </row>
    <row r="139" spans="2:16" ht="6" customHeight="1">
      <c r="B139" s="49"/>
      <c r="C139" s="49"/>
      <c r="D139" s="25"/>
      <c r="E139" s="156"/>
      <c r="F139" s="25"/>
      <c r="G139" s="25"/>
      <c r="H139" s="25"/>
      <c r="I139" s="25"/>
      <c r="J139" s="25"/>
      <c r="K139" s="92"/>
    </row>
    <row r="140" spans="2:16">
      <c r="B140" s="31"/>
      <c r="C140" s="31"/>
      <c r="E140" s="101"/>
      <c r="K140" s="89"/>
      <c r="L140" s="89"/>
      <c r="M140" s="89"/>
      <c r="N140" s="89"/>
      <c r="O140" s="89"/>
      <c r="P140" s="89"/>
    </row>
    <row r="141" spans="2:16">
      <c r="D141" s="2" t="s">
        <v>75</v>
      </c>
      <c r="E141" s="161">
        <f ca="1">SUM(I141:P141)</f>
        <v>0</v>
      </c>
      <c r="I141" s="50">
        <f t="shared" ref="I141:P141" si="68">I137-I114</f>
        <v>0</v>
      </c>
      <c r="J141" s="50">
        <f t="shared" si="68"/>
        <v>0</v>
      </c>
      <c r="K141" s="50">
        <f t="shared" si="68"/>
        <v>0</v>
      </c>
      <c r="L141" s="50">
        <f t="shared" ca="1" si="68"/>
        <v>0</v>
      </c>
      <c r="M141" s="50">
        <f ca="1">M137-M114</f>
        <v>0</v>
      </c>
      <c r="N141" s="50">
        <f t="shared" ca="1" si="68"/>
        <v>0</v>
      </c>
      <c r="O141" s="50">
        <f t="shared" ca="1" si="68"/>
        <v>0</v>
      </c>
      <c r="P141" s="50">
        <f t="shared" ca="1" si="68"/>
        <v>0</v>
      </c>
    </row>
    <row r="142" spans="2:16">
      <c r="E142" s="161"/>
      <c r="I142" s="50"/>
      <c r="J142" s="50"/>
      <c r="K142" s="50"/>
      <c r="L142" s="50"/>
      <c r="M142" s="50"/>
      <c r="N142" s="50"/>
      <c r="O142" s="50"/>
      <c r="P142" s="50"/>
    </row>
    <row r="143" spans="2:16">
      <c r="E143" s="161"/>
      <c r="I143" s="50"/>
      <c r="J143" s="50"/>
      <c r="K143" s="50"/>
      <c r="L143" s="50"/>
      <c r="M143" s="50"/>
      <c r="N143" s="50"/>
      <c r="O143" s="50"/>
      <c r="P143" s="50"/>
    </row>
    <row r="144" spans="2:16">
      <c r="E144" s="101"/>
    </row>
    <row r="145" spans="1:16" ht="13.5" thickBot="1">
      <c r="A145" s="95" t="s">
        <v>159</v>
      </c>
      <c r="B145" s="95"/>
      <c r="C145" s="95"/>
      <c r="D145" s="95"/>
      <c r="E145" s="148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</row>
    <row r="146" spans="1:16" ht="13.5" thickTop="1">
      <c r="E146" s="101"/>
    </row>
    <row r="147" spans="1:16" ht="20" thickBot="1">
      <c r="B147" s="97" t="s">
        <v>158</v>
      </c>
      <c r="C147" s="97"/>
      <c r="D147" s="97"/>
      <c r="E147" s="147"/>
      <c r="F147" s="97"/>
      <c r="G147" s="97"/>
      <c r="H147" s="97"/>
      <c r="I147" s="97"/>
      <c r="J147" s="97"/>
      <c r="K147" s="97"/>
      <c r="L147" s="97"/>
      <c r="M147" s="97"/>
      <c r="N147" s="97"/>
      <c r="O147" s="97"/>
      <c r="P147" s="97"/>
    </row>
    <row r="148" spans="1:16" ht="14" thickTop="1" thickBot="1">
      <c r="E148" s="101"/>
    </row>
    <row r="149" spans="1:16" ht="14" thickTop="1" thickBot="1">
      <c r="D149" s="2" t="str">
        <f>Assumptions!D29</f>
        <v>Gross Revenue</v>
      </c>
      <c r="E149" s="101" t="str">
        <f>Assumptions!E29</f>
        <v>$/unit</v>
      </c>
      <c r="K149" s="100">
        <f>Assumptions!K29</f>
        <v>34463</v>
      </c>
    </row>
    <row r="150" spans="1:16" ht="14" thickTop="1" thickBot="1">
      <c r="D150" s="2" t="str">
        <f>Assumptions!D30</f>
        <v>Freight &amp; Warehouse costs</v>
      </c>
      <c r="E150" s="101" t="str">
        <f>Assumptions!E30</f>
        <v>$/unit</v>
      </c>
      <c r="K150" s="100">
        <f>Assumptions!K30</f>
        <v>2042</v>
      </c>
    </row>
    <row r="151" spans="1:16" ht="14" thickTop="1" thickBot="1">
      <c r="D151" s="2" t="str">
        <f>Assumptions!D28</f>
        <v>Net Revenue</v>
      </c>
      <c r="E151" s="101" t="str">
        <f>Assumptions!E28</f>
        <v>$/unit</v>
      </c>
      <c r="K151" s="100">
        <f>Assumptions!K28</f>
        <v>32421</v>
      </c>
    </row>
    <row r="152" spans="1:16" ht="14" thickTop="1" thickBot="1">
      <c r="E152" s="101"/>
    </row>
    <row r="153" spans="1:16" s="100" customFormat="1" ht="14" thickTop="1" thickBot="1">
      <c r="A153" s="2"/>
      <c r="B153" s="2"/>
      <c r="C153" s="2"/>
      <c r="D153" s="2" t="str">
        <f>Assumptions!D37</f>
        <v>Manufacturing Capacity</v>
      </c>
      <c r="E153" s="101" t="str">
        <f>Assumptions!E37</f>
        <v>units</v>
      </c>
      <c r="F153" s="100">
        <f>Assumptions!F37</f>
        <v>182000</v>
      </c>
      <c r="G153" s="2"/>
      <c r="H153" s="2"/>
      <c r="I153" s="2"/>
      <c r="J153" s="2"/>
      <c r="K153" s="2"/>
      <c r="L153" s="100">
        <f>$F$153</f>
        <v>182000</v>
      </c>
      <c r="M153" s="100">
        <f t="shared" ref="M153:P153" si="69">$F$153</f>
        <v>182000</v>
      </c>
      <c r="N153" s="100">
        <f t="shared" si="69"/>
        <v>182000</v>
      </c>
      <c r="O153" s="100">
        <f t="shared" si="69"/>
        <v>182000</v>
      </c>
      <c r="P153" s="100">
        <f t="shared" si="69"/>
        <v>182000</v>
      </c>
    </row>
    <row r="154" spans="1:16" ht="13.5" thickTop="1">
      <c r="E154" s="101"/>
    </row>
    <row r="155" spans="1:16">
      <c r="E155" s="101"/>
    </row>
    <row r="156" spans="1:16" ht="13.5" thickBot="1">
      <c r="C156" s="9" t="str">
        <f>D151</f>
        <v>Net Revenue</v>
      </c>
      <c r="E156" s="101"/>
    </row>
    <row r="157" spans="1:16" ht="14" thickTop="1" thickBot="1">
      <c r="C157" s="9"/>
      <c r="D157" s="2" t="str">
        <f>Assumptions!D32</f>
        <v>Sales Prices Scenarios</v>
      </c>
      <c r="E157" s="101" t="str">
        <f>Assumptions!E32</f>
        <v>$/unit</v>
      </c>
      <c r="L157" s="100">
        <f>Assumptions!L32</f>
        <v>35000</v>
      </c>
      <c r="M157" s="100">
        <f>Assumptions!M32</f>
        <v>35500</v>
      </c>
      <c r="N157" s="100">
        <f>Assumptions!N32</f>
        <v>36000</v>
      </c>
      <c r="O157" s="100">
        <f>Assumptions!O32</f>
        <v>36500</v>
      </c>
      <c r="P157" s="100">
        <f>Assumptions!P32</f>
        <v>37000</v>
      </c>
    </row>
    <row r="158" spans="1:16" ht="14" thickTop="1" thickBot="1">
      <c r="C158" s="9"/>
      <c r="D158" t="str">
        <f>Assumptions!D33</f>
        <v>Sales Volume Scenarios</v>
      </c>
      <c r="E158" s="101" t="str">
        <f>Assumptions!E33</f>
        <v>%</v>
      </c>
      <c r="F158"/>
      <c r="G158"/>
      <c r="H158"/>
      <c r="I158"/>
      <c r="J158"/>
      <c r="K158"/>
      <c r="L158" s="117">
        <f>Assumptions!L33</f>
        <v>2.5000000000000001E-2</v>
      </c>
      <c r="M158" s="117">
        <f>Assumptions!M33</f>
        <v>2.5000000000000001E-2</v>
      </c>
      <c r="N158" s="117">
        <f>Assumptions!N33</f>
        <v>2.5000000000000001E-2</v>
      </c>
      <c r="O158" s="117">
        <f>Assumptions!O33</f>
        <v>2.5000000000000001E-2</v>
      </c>
      <c r="P158" s="117">
        <f>Assumptions!P33</f>
        <v>2.5000000000000001E-2</v>
      </c>
    </row>
    <row r="159" spans="1:16" ht="13.5" thickTop="1">
      <c r="C159" s="9"/>
      <c r="E159" s="101"/>
    </row>
    <row r="160" spans="1:16">
      <c r="C160" s="9"/>
      <c r="D160" s="2" t="s">
        <v>161</v>
      </c>
      <c r="E160" s="101" t="s">
        <v>93</v>
      </c>
      <c r="L160" s="2">
        <f>K161*(1+L158)</f>
        <v>166840.3195459733</v>
      </c>
      <c r="M160" s="2">
        <f>L160*(1+M158)</f>
        <v>171011.3275346226</v>
      </c>
      <c r="N160" s="2">
        <f>M160*(1+N158)</f>
        <v>175286.61072298815</v>
      </c>
      <c r="O160" s="2">
        <f>N160*(1+O158)</f>
        <v>179668.77599106284</v>
      </c>
      <c r="P160" s="2">
        <f>O160*(1+P158)</f>
        <v>184160.49539083938</v>
      </c>
    </row>
    <row r="161" spans="1:16">
      <c r="C161" s="9"/>
      <c r="D161" s="2" t="s">
        <v>162</v>
      </c>
      <c r="E161" s="101" t="s">
        <v>93</v>
      </c>
      <c r="K161" s="2">
        <f>K175*Million/K151</f>
        <v>162771.04345948616</v>
      </c>
      <c r="L161" s="2">
        <f>MIN(L153,L160)</f>
        <v>166840.3195459733</v>
      </c>
      <c r="M161" s="2">
        <f>MIN(M153,M160)</f>
        <v>171011.3275346226</v>
      </c>
      <c r="N161" s="2">
        <f>MIN(N153,N160)</f>
        <v>175286.61072298815</v>
      </c>
      <c r="O161" s="2">
        <f>MIN(O153,O160)</f>
        <v>179668.77599106284</v>
      </c>
      <c r="P161" s="2">
        <f>MIN(P153,P160)</f>
        <v>182000</v>
      </c>
    </row>
    <row r="162" spans="1:16">
      <c r="C162" s="9"/>
      <c r="E162" s="101"/>
    </row>
    <row r="163" spans="1:16">
      <c r="C163" s="9"/>
      <c r="D163" s="2" t="str">
        <f>D151</f>
        <v>Net Revenue</v>
      </c>
      <c r="E163" s="101" t="str">
        <f>E151</f>
        <v>$/unit</v>
      </c>
      <c r="K163" s="2">
        <f>K151</f>
        <v>32421</v>
      </c>
      <c r="L163" s="2">
        <f>L157</f>
        <v>35000</v>
      </c>
      <c r="M163" s="2">
        <f>M157</f>
        <v>35500</v>
      </c>
      <c r="N163" s="2">
        <f>N157</f>
        <v>36000</v>
      </c>
      <c r="O163" s="2">
        <f>O157</f>
        <v>36500</v>
      </c>
      <c r="P163" s="2">
        <f>P157</f>
        <v>37000</v>
      </c>
    </row>
    <row r="164" spans="1:16">
      <c r="C164" s="9"/>
      <c r="E164" s="101"/>
    </row>
    <row r="165" spans="1:16">
      <c r="E165" s="101"/>
    </row>
    <row r="166" spans="1:16" ht="13.5" thickBot="1">
      <c r="C166" s="9" t="str">
        <f>D150</f>
        <v>Freight &amp; Warehouse costs</v>
      </c>
      <c r="E166" s="101"/>
    </row>
    <row r="167" spans="1:16" ht="14" thickTop="1" thickBot="1">
      <c r="D167" s="2" t="str">
        <f>Assumptions!D35</f>
        <v>Freight &amp; Warehousing costs</v>
      </c>
      <c r="E167" s="101" t="str">
        <f>Assumptions!E35</f>
        <v>%</v>
      </c>
      <c r="L167" s="116">
        <f>Assumptions!L35</f>
        <v>0.03</v>
      </c>
      <c r="M167" s="116">
        <f>Assumptions!M35</f>
        <v>0.03</v>
      </c>
      <c r="N167" s="116">
        <f>Assumptions!N35</f>
        <v>0.03</v>
      </c>
      <c r="O167" s="116">
        <f>Assumptions!O35</f>
        <v>0.03</v>
      </c>
      <c r="P167" s="116">
        <f>Assumptions!P35</f>
        <v>0.03</v>
      </c>
    </row>
    <row r="168" spans="1:16" ht="13.5" thickTop="1">
      <c r="D168" s="2" t="str">
        <f>D174</f>
        <v>Freight &amp; Warehousing</v>
      </c>
      <c r="E168" s="101" t="str">
        <f>Currency</f>
        <v>$'m</v>
      </c>
      <c r="K168" s="2">
        <f>K174</f>
        <v>332.4</v>
      </c>
      <c r="L168" s="2">
        <f>K168*(1+L167)</f>
        <v>342.37199999999996</v>
      </c>
      <c r="M168" s="2">
        <f t="shared" ref="M168:P168" si="70">L168*(1+M167)</f>
        <v>352.64315999999997</v>
      </c>
      <c r="N168" s="2">
        <f t="shared" si="70"/>
        <v>363.22245479999998</v>
      </c>
      <c r="O168" s="2">
        <f t="shared" si="70"/>
        <v>374.11912844400001</v>
      </c>
      <c r="P168" s="2">
        <f t="shared" si="70"/>
        <v>385.34270229732005</v>
      </c>
    </row>
    <row r="169" spans="1:16">
      <c r="E169" s="101"/>
    </row>
    <row r="170" spans="1:16">
      <c r="E170" s="101"/>
    </row>
    <row r="171" spans="1:16">
      <c r="E171" s="101"/>
    </row>
    <row r="172" spans="1:16" s="89" customFormat="1" ht="13.5" thickBot="1">
      <c r="A172" s="2"/>
      <c r="B172" s="2"/>
      <c r="C172" s="118" t="str">
        <f>D173</f>
        <v>Gross Revenue</v>
      </c>
      <c r="E172" s="162"/>
    </row>
    <row r="173" spans="1:16" s="92" customFormat="1" ht="14" thickTop="1" thickBot="1">
      <c r="A173" s="2"/>
      <c r="B173" s="2"/>
      <c r="C173" s="119"/>
      <c r="D173" s="92" t="str">
        <f t="shared" ref="D173:E175" si="71">D19</f>
        <v>Gross Revenue</v>
      </c>
      <c r="E173" s="163" t="str">
        <f t="shared" si="71"/>
        <v>$'m</v>
      </c>
      <c r="K173" s="100">
        <f>K19</f>
        <v>5609.6</v>
      </c>
      <c r="L173" s="92">
        <f>SUM(L174:L175)</f>
        <v>6181.7831841090656</v>
      </c>
      <c r="M173" s="92">
        <f t="shared" ref="M173:P173" si="72">SUM(M174:M175)</f>
        <v>6423.5452874791017</v>
      </c>
      <c r="N173" s="92">
        <f t="shared" si="72"/>
        <v>6673.5404408275735</v>
      </c>
      <c r="O173" s="92">
        <f t="shared" si="72"/>
        <v>6932.0294521177939</v>
      </c>
      <c r="P173" s="92">
        <f t="shared" si="72"/>
        <v>7119.3427022973201</v>
      </c>
    </row>
    <row r="174" spans="1:16" s="92" customFormat="1" ht="14" thickTop="1" thickBot="1">
      <c r="A174" s="2"/>
      <c r="B174" s="2"/>
      <c r="C174" s="119"/>
      <c r="D174" s="92" t="str">
        <f t="shared" si="71"/>
        <v>Freight &amp; Warehousing</v>
      </c>
      <c r="E174" s="163" t="str">
        <f t="shared" si="71"/>
        <v>$'m</v>
      </c>
      <c r="K174" s="100">
        <f>K20</f>
        <v>332.4</v>
      </c>
      <c r="L174" s="92">
        <f>L168</f>
        <v>342.37199999999996</v>
      </c>
      <c r="M174" s="92">
        <f t="shared" ref="M174:P174" si="73">M168</f>
        <v>352.64315999999997</v>
      </c>
      <c r="N174" s="92">
        <f t="shared" si="73"/>
        <v>363.22245479999998</v>
      </c>
      <c r="O174" s="92">
        <f t="shared" si="73"/>
        <v>374.11912844400001</v>
      </c>
      <c r="P174" s="92">
        <f t="shared" si="73"/>
        <v>385.34270229732005</v>
      </c>
    </row>
    <row r="175" spans="1:16" s="25" customFormat="1" ht="13.5" thickTop="1">
      <c r="A175" s="2"/>
      <c r="B175" s="2"/>
      <c r="C175" s="120"/>
      <c r="D175" s="25" t="str">
        <f t="shared" si="71"/>
        <v>Net Revenue</v>
      </c>
      <c r="E175" s="156" t="str">
        <f t="shared" si="71"/>
        <v>$'m</v>
      </c>
      <c r="K175" s="121">
        <f>K21</f>
        <v>5277.2000000000007</v>
      </c>
      <c r="L175" s="25">
        <f>L161*L163/Million</f>
        <v>5839.4111841090653</v>
      </c>
      <c r="M175" s="25">
        <f>M161*M163/Million</f>
        <v>6070.9021274791021</v>
      </c>
      <c r="N175" s="25">
        <f>N161*N163/Million</f>
        <v>6310.3179860275732</v>
      </c>
      <c r="O175" s="25">
        <f>O161*O163/Million</f>
        <v>6557.9103236737938</v>
      </c>
      <c r="P175" s="25">
        <f>P161*P163/Million</f>
        <v>6734</v>
      </c>
    </row>
    <row r="176" spans="1:16">
      <c r="E176" s="101"/>
    </row>
    <row r="177" spans="2:16">
      <c r="E177" s="101"/>
    </row>
    <row r="178" spans="2:16">
      <c r="E178" s="101"/>
    </row>
    <row r="179" spans="2:16" ht="20" thickBot="1">
      <c r="B179" s="97" t="s">
        <v>163</v>
      </c>
      <c r="C179" s="97"/>
      <c r="D179" s="97"/>
      <c r="E179" s="147"/>
      <c r="F179" s="97"/>
      <c r="G179" s="97"/>
      <c r="H179" s="97"/>
      <c r="I179" s="97"/>
      <c r="J179" s="97"/>
      <c r="K179" s="97"/>
      <c r="L179" s="97"/>
      <c r="M179" s="97"/>
      <c r="N179" s="97"/>
      <c r="O179" s="97"/>
      <c r="P179" s="97"/>
    </row>
    <row r="180" spans="2:16" ht="13.5" thickTop="1">
      <c r="E180" s="101"/>
    </row>
    <row r="181" spans="2:16" ht="13.5" thickBot="1">
      <c r="C181" s="9" t="s">
        <v>166</v>
      </c>
      <c r="E181" s="101"/>
    </row>
    <row r="182" spans="2:16" ht="14" thickTop="1" thickBot="1">
      <c r="D182" s="2" t="str">
        <f>Assumptions!D43</f>
        <v>Variable Cost</v>
      </c>
      <c r="E182" s="101" t="str">
        <f>Assumptions!E43</f>
        <v>%</v>
      </c>
      <c r="K182" s="116">
        <f>Assumptions!F43</f>
        <v>0.6</v>
      </c>
    </row>
    <row r="183" spans="2:16" ht="14" thickTop="1" thickBot="1">
      <c r="D183" s="2" t="str">
        <f>Assumptions!D44</f>
        <v>Fixed Cost</v>
      </c>
      <c r="E183" s="101" t="str">
        <f>Assumptions!E44</f>
        <v>%</v>
      </c>
      <c r="K183" s="116">
        <f>Assumptions!F44</f>
        <v>0.4</v>
      </c>
    </row>
    <row r="184" spans="2:16" ht="14" thickTop="1" thickBot="1">
      <c r="D184" s="2" t="str">
        <f>Assumptions!D45</f>
        <v>Total Cost</v>
      </c>
      <c r="E184" s="101" t="str">
        <f>Assumptions!E45</f>
        <v>%</v>
      </c>
      <c r="K184" s="116">
        <f>Assumptions!F45</f>
        <v>1</v>
      </c>
    </row>
    <row r="185" spans="2:16" ht="14" thickTop="1" thickBot="1">
      <c r="E185" s="101"/>
    </row>
    <row r="186" spans="2:16" ht="14" thickTop="1" thickBot="1">
      <c r="D186" s="2" t="str">
        <f>Assumptions!D47</f>
        <v>Cost Inflation Scenarios</v>
      </c>
      <c r="E186" s="101" t="str">
        <f>Assumptions!E47</f>
        <v>%</v>
      </c>
      <c r="L186" s="107">
        <f>Assumptions!L47</f>
        <v>0.03</v>
      </c>
      <c r="M186" s="107">
        <f>Assumptions!M47</f>
        <v>0.03</v>
      </c>
      <c r="N186" s="107">
        <f>Assumptions!N47</f>
        <v>0.03</v>
      </c>
      <c r="O186" s="107">
        <f>Assumptions!O47</f>
        <v>0.03</v>
      </c>
      <c r="P186" s="107">
        <f>Assumptions!P47</f>
        <v>0.03</v>
      </c>
    </row>
    <row r="187" spans="2:16" ht="14" thickTop="1" thickBot="1">
      <c r="E187" s="101"/>
    </row>
    <row r="188" spans="2:16" ht="14" thickTop="1" thickBot="1">
      <c r="D188" s="2" t="str">
        <f>D161</f>
        <v>Motorcycles produced</v>
      </c>
      <c r="E188" s="101" t="str">
        <f>E161</f>
        <v>Units</v>
      </c>
      <c r="K188" s="2">
        <f>K161</f>
        <v>162771.04345948616</v>
      </c>
      <c r="L188" s="100">
        <f t="shared" ref="L188:P188" si="74">L161</f>
        <v>166840.3195459733</v>
      </c>
      <c r="M188" s="100">
        <f t="shared" si="74"/>
        <v>171011.3275346226</v>
      </c>
      <c r="N188" s="100">
        <f t="shared" si="74"/>
        <v>175286.61072298815</v>
      </c>
      <c r="O188" s="100">
        <f t="shared" si="74"/>
        <v>179668.77599106284</v>
      </c>
      <c r="P188" s="100">
        <f t="shared" si="74"/>
        <v>182000</v>
      </c>
    </row>
    <row r="189" spans="2:16" ht="13.5" thickTop="1">
      <c r="E189" s="101"/>
    </row>
    <row r="190" spans="2:16">
      <c r="C190" s="9" t="s">
        <v>164</v>
      </c>
      <c r="E190" s="101"/>
    </row>
    <row r="191" spans="2:16">
      <c r="D191" s="2" t="str">
        <f>D182</f>
        <v>Variable Cost</v>
      </c>
      <c r="E191" s="101" t="s">
        <v>105</v>
      </c>
      <c r="K191" s="2">
        <f>K194*Million/K188</f>
        <v>12246.527131812323</v>
      </c>
      <c r="L191" s="2">
        <f>K191*(1+L186)</f>
        <v>12613.922945766693</v>
      </c>
      <c r="M191" s="2">
        <f t="shared" ref="M191:P191" si="75">L191*(1+M186)</f>
        <v>12992.340634139695</v>
      </c>
      <c r="N191" s="2">
        <f t="shared" si="75"/>
        <v>13382.110853163886</v>
      </c>
      <c r="O191" s="2">
        <f t="shared" si="75"/>
        <v>13783.574178758803</v>
      </c>
      <c r="P191" s="2">
        <f t="shared" si="75"/>
        <v>14197.081404121567</v>
      </c>
    </row>
    <row r="192" spans="2:16">
      <c r="E192" s="101"/>
    </row>
    <row r="193" spans="1:16" s="89" customFormat="1">
      <c r="A193" s="2"/>
      <c r="B193" s="2"/>
      <c r="C193" s="118" t="s">
        <v>165</v>
      </c>
      <c r="E193" s="162"/>
    </row>
    <row r="194" spans="1:16" s="92" customFormat="1">
      <c r="A194" s="2"/>
      <c r="B194" s="2"/>
      <c r="C194" s="119"/>
      <c r="D194" s="92" t="str">
        <f>D182</f>
        <v>Variable Cost</v>
      </c>
      <c r="E194" s="163" t="str">
        <f>Currency</f>
        <v>$'m</v>
      </c>
      <c r="K194" s="92">
        <f>K182*$K$196</f>
        <v>1993.38</v>
      </c>
      <c r="L194" s="92">
        <f>L191*L188/Million</f>
        <v>2104.5109349999998</v>
      </c>
      <c r="M194" s="92">
        <f>M191*M188/Million</f>
        <v>2221.8374196262498</v>
      </c>
      <c r="N194" s="92">
        <f>N191*N188/Million</f>
        <v>2345.7048557704129</v>
      </c>
      <c r="O194" s="92">
        <f>O191*O188/Million</f>
        <v>2476.4779014796131</v>
      </c>
      <c r="P194" s="92">
        <f>P191*P188/Million</f>
        <v>2583.868815550125</v>
      </c>
    </row>
    <row r="195" spans="1:16" s="92" customFormat="1" ht="13.5" thickBot="1">
      <c r="A195" s="2"/>
      <c r="B195" s="2"/>
      <c r="C195" s="119"/>
      <c r="D195" s="92" t="str">
        <f t="shared" ref="D195:D196" si="76">D183</f>
        <v>Fixed Cost</v>
      </c>
      <c r="E195" s="163" t="str">
        <f>Currency</f>
        <v>$'m</v>
      </c>
      <c r="K195" s="92">
        <f>K183*$K$196</f>
        <v>1328.92</v>
      </c>
      <c r="L195" s="92">
        <f>K195*(1+L186)</f>
        <v>1368.7876000000001</v>
      </c>
      <c r="M195" s="92">
        <f t="shared" ref="M195:P195" si="77">L195*(1+M186)</f>
        <v>1409.8512280000002</v>
      </c>
      <c r="N195" s="92">
        <f t="shared" si="77"/>
        <v>1452.1467648400003</v>
      </c>
      <c r="O195" s="92">
        <f t="shared" si="77"/>
        <v>1495.7111677852004</v>
      </c>
      <c r="P195" s="92">
        <f t="shared" si="77"/>
        <v>1540.5825028187564</v>
      </c>
    </row>
    <row r="196" spans="1:16" s="25" customFormat="1" ht="13.5" thickTop="1">
      <c r="A196" s="2"/>
      <c r="B196" s="2"/>
      <c r="C196" s="120"/>
      <c r="D196" s="25" t="str">
        <f t="shared" si="76"/>
        <v>Total Cost</v>
      </c>
      <c r="E196" s="156" t="str">
        <f>Currency</f>
        <v>$'m</v>
      </c>
      <c r="K196" s="121">
        <f>K23</f>
        <v>3322.3</v>
      </c>
      <c r="L196" s="25">
        <f>SUM(L194:L195)</f>
        <v>3473.2985349999999</v>
      </c>
      <c r="M196" s="25">
        <f t="shared" ref="M196:P196" si="78">SUM(M194:M195)</f>
        <v>3631.6886476262498</v>
      </c>
      <c r="N196" s="25">
        <f t="shared" si="78"/>
        <v>3797.8516206104132</v>
      </c>
      <c r="O196" s="25">
        <f t="shared" si="78"/>
        <v>3972.1890692648135</v>
      </c>
      <c r="P196" s="25">
        <f t="shared" si="78"/>
        <v>4124.4513183688814</v>
      </c>
    </row>
    <row r="197" spans="1:16">
      <c r="E197" s="101"/>
    </row>
    <row r="198" spans="1:16">
      <c r="D198" s="110" t="str">
        <f>Assumptions!D49</f>
        <v>Selling General &amp; Administration (“SG&amp;A”) expense</v>
      </c>
      <c r="E198" s="164" t="str">
        <f>Assumptions!E49</f>
        <v>$'m</v>
      </c>
      <c r="F198" s="111"/>
      <c r="G198" s="111"/>
      <c r="H198" s="111"/>
      <c r="I198" s="111"/>
      <c r="J198" s="111"/>
      <c r="K198" s="111"/>
      <c r="L198" s="122">
        <f>Assumptions!L49</f>
        <v>1200</v>
      </c>
      <c r="M198" s="111">
        <f>L198*(1+M186)</f>
        <v>1236</v>
      </c>
      <c r="N198" s="111">
        <f>M198*(1+N186)</f>
        <v>1273.08</v>
      </c>
      <c r="O198" s="111">
        <f t="shared" ref="O198:P198" si="79">N198*(1+O186)</f>
        <v>1311.2724000000001</v>
      </c>
      <c r="P198" s="112">
        <f t="shared" si="79"/>
        <v>1350.610572</v>
      </c>
    </row>
    <row r="199" spans="1:16">
      <c r="E199" s="101"/>
    </row>
    <row r="200" spans="1:16">
      <c r="E200" s="101"/>
    </row>
    <row r="201" spans="1:16" ht="20" thickBot="1">
      <c r="B201" s="97" t="s">
        <v>167</v>
      </c>
      <c r="C201" s="97"/>
      <c r="D201" s="97"/>
      <c r="E201" s="147"/>
      <c r="F201" s="97"/>
      <c r="G201" s="97"/>
      <c r="H201" s="97"/>
      <c r="I201" s="97"/>
      <c r="J201" s="97"/>
      <c r="K201" s="97"/>
      <c r="L201" s="97"/>
      <c r="M201" s="97"/>
      <c r="N201" s="97"/>
      <c r="O201" s="97"/>
      <c r="P201" s="97"/>
    </row>
    <row r="202" spans="1:16" ht="14" thickTop="1" thickBot="1">
      <c r="E202" s="101"/>
    </row>
    <row r="203" spans="1:16" ht="14" thickTop="1" thickBot="1">
      <c r="D203" s="2" t="str">
        <f>Assumptions!D56</f>
        <v>Capex Additions</v>
      </c>
      <c r="E203" s="101" t="str">
        <f>Assumptions!E56</f>
        <v>$'m</v>
      </c>
      <c r="L203" s="100">
        <f>Assumptions!L56</f>
        <v>225</v>
      </c>
      <c r="M203" s="100">
        <f>Assumptions!M56</f>
        <v>225</v>
      </c>
      <c r="N203" s="100">
        <f>Assumptions!N56</f>
        <v>225</v>
      </c>
      <c r="O203" s="100">
        <f>Assumptions!O56</f>
        <v>225</v>
      </c>
      <c r="P203" s="100">
        <f>Assumptions!P56</f>
        <v>225</v>
      </c>
    </row>
    <row r="204" spans="1:16" ht="13.5" thickTop="1">
      <c r="E204" s="101"/>
    </row>
    <row r="205" spans="1:16" ht="13.5" thickBot="1">
      <c r="C205" s="2" t="str">
        <f>Assumptions!C60</f>
        <v>Useful Life</v>
      </c>
      <c r="E205" s="101"/>
    </row>
    <row r="206" spans="1:16" ht="14" thickTop="1" thickBot="1">
      <c r="D206" s="2" t="str">
        <f>Assumptions!D61</f>
        <v>Existing assets</v>
      </c>
      <c r="E206" s="101" t="str">
        <f>Assumptions!E61</f>
        <v>Years</v>
      </c>
      <c r="F206" s="100">
        <f>Assumptions!F61</f>
        <v>12</v>
      </c>
    </row>
    <row r="207" spans="1:16" ht="14" thickTop="1" thickBot="1">
      <c r="D207" s="2" t="str">
        <f>Assumptions!D62</f>
        <v>New Assets</v>
      </c>
      <c r="E207" s="101" t="str">
        <f>Assumptions!E62</f>
        <v>Years</v>
      </c>
      <c r="F207" s="100">
        <f>Assumptions!F62</f>
        <v>18</v>
      </c>
    </row>
    <row r="208" spans="1:16" ht="13.5" thickTop="1">
      <c r="E208" s="101"/>
    </row>
    <row r="209" spans="3:16" ht="13.5" thickBot="1">
      <c r="C209" s="9" t="s">
        <v>168</v>
      </c>
      <c r="E209" s="101"/>
    </row>
    <row r="210" spans="3:16" ht="14" thickTop="1" thickBot="1">
      <c r="D210" s="2" t="str">
        <f>D108</f>
        <v>Net PP&amp;E</v>
      </c>
      <c r="E210" s="101" t="str">
        <f>E108</f>
        <v>$'m</v>
      </c>
      <c r="K210" s="100">
        <f>K108</f>
        <v>2034.6</v>
      </c>
    </row>
    <row r="211" spans="3:16" ht="13.5" thickTop="1">
      <c r="E211" s="101"/>
    </row>
    <row r="212" spans="3:16">
      <c r="D212" s="2" t="s">
        <v>169</v>
      </c>
      <c r="E212" s="101" t="str">
        <f>Currency</f>
        <v>$'m</v>
      </c>
      <c r="L212" s="2">
        <f>$F$206</f>
        <v>12</v>
      </c>
      <c r="M212" s="2">
        <f t="shared" ref="M212:P212" si="80">$F$206</f>
        <v>12</v>
      </c>
      <c r="N212" s="2">
        <f t="shared" si="80"/>
        <v>12</v>
      </c>
      <c r="O212" s="2">
        <f t="shared" si="80"/>
        <v>12</v>
      </c>
      <c r="P212" s="2">
        <f t="shared" si="80"/>
        <v>12</v>
      </c>
    </row>
    <row r="213" spans="3:16">
      <c r="E213" s="101"/>
    </row>
    <row r="214" spans="3:16">
      <c r="E214" s="101"/>
      <c r="L214" s="132">
        <f>L5</f>
        <v>2024</v>
      </c>
      <c r="M214" s="132">
        <f>M5</f>
        <v>2025</v>
      </c>
      <c r="N214" s="132">
        <f>N5</f>
        <v>2026</v>
      </c>
      <c r="O214" s="132">
        <f>O5</f>
        <v>2027</v>
      </c>
      <c r="P214" s="132">
        <f>P5</f>
        <v>2028</v>
      </c>
    </row>
    <row r="215" spans="3:16">
      <c r="D215" s="9" t="s">
        <v>172</v>
      </c>
      <c r="E215" s="101"/>
      <c r="I215" s="124" t="s">
        <v>170</v>
      </c>
      <c r="J215" s="7" t="s">
        <v>171</v>
      </c>
    </row>
    <row r="216" spans="3:16">
      <c r="E216" s="101" t="str">
        <f>Currency</f>
        <v>$'m</v>
      </c>
      <c r="I216" s="113" cm="1">
        <f t="array" ref="I216:I220">TRANSPOSE(L214:P214)</f>
        <v>2024</v>
      </c>
      <c r="J216" s="125" cm="1">
        <f t="array" ref="J216:J220">TRANSPOSE(L203:P203)</f>
        <v>225</v>
      </c>
      <c r="L216" s="2">
        <f>IF(L$214=$I216,$J216/$F$207/2,$J216/$F$207)</f>
        <v>6.25</v>
      </c>
      <c r="M216" s="2">
        <f t="shared" ref="M216:P220" si="81">IF(M$214=$I216,$J216/$F$207/2,$J216/$F$207)</f>
        <v>12.5</v>
      </c>
      <c r="N216" s="2">
        <f t="shared" si="81"/>
        <v>12.5</v>
      </c>
      <c r="O216" s="2">
        <f t="shared" si="81"/>
        <v>12.5</v>
      </c>
      <c r="P216" s="2">
        <f t="shared" si="81"/>
        <v>12.5</v>
      </c>
    </row>
    <row r="217" spans="3:16">
      <c r="E217" s="101" t="str">
        <f>Currency</f>
        <v>$'m</v>
      </c>
      <c r="I217" s="113">
        <v>2025</v>
      </c>
      <c r="J217" s="103">
        <v>225</v>
      </c>
      <c r="M217" s="2">
        <f t="shared" si="81"/>
        <v>6.25</v>
      </c>
      <c r="N217" s="2">
        <f t="shared" si="81"/>
        <v>12.5</v>
      </c>
      <c r="O217" s="2">
        <f t="shared" si="81"/>
        <v>12.5</v>
      </c>
      <c r="P217" s="2">
        <f t="shared" si="81"/>
        <v>12.5</v>
      </c>
    </row>
    <row r="218" spans="3:16">
      <c r="E218" s="101" t="str">
        <f>Currency</f>
        <v>$'m</v>
      </c>
      <c r="I218" s="113">
        <v>2026</v>
      </c>
      <c r="J218" s="103">
        <v>225</v>
      </c>
      <c r="N218" s="2">
        <f t="shared" si="81"/>
        <v>6.25</v>
      </c>
      <c r="O218" s="2">
        <f t="shared" si="81"/>
        <v>12.5</v>
      </c>
      <c r="P218" s="2">
        <f t="shared" si="81"/>
        <v>12.5</v>
      </c>
    </row>
    <row r="219" spans="3:16">
      <c r="E219" s="101" t="str">
        <f>Currency</f>
        <v>$'m</v>
      </c>
      <c r="I219" s="113">
        <v>2027</v>
      </c>
      <c r="J219" s="103">
        <v>225</v>
      </c>
      <c r="O219" s="2">
        <f t="shared" si="81"/>
        <v>6.25</v>
      </c>
      <c r="P219" s="2">
        <f t="shared" si="81"/>
        <v>12.5</v>
      </c>
    </row>
    <row r="220" spans="3:16">
      <c r="E220" s="101" t="str">
        <f>Currency</f>
        <v>$'m</v>
      </c>
      <c r="I220" s="113">
        <v>2028</v>
      </c>
      <c r="J220" s="104">
        <v>225</v>
      </c>
      <c r="P220" s="2">
        <f t="shared" si="81"/>
        <v>6.25</v>
      </c>
    </row>
    <row r="221" spans="3:16">
      <c r="E221" s="101"/>
    </row>
    <row r="222" spans="3:16">
      <c r="D222" s="2" t="s">
        <v>169</v>
      </c>
      <c r="E222" s="101" t="str">
        <f>Currency</f>
        <v>$'m</v>
      </c>
      <c r="L222" s="2">
        <f>SUM(L216:L221)</f>
        <v>6.25</v>
      </c>
      <c r="M222" s="2">
        <f t="shared" ref="M222:P222" si="82">SUM(M216:M221)</f>
        <v>18.75</v>
      </c>
      <c r="N222" s="2">
        <f t="shared" si="82"/>
        <v>31.25</v>
      </c>
      <c r="O222" s="2">
        <f t="shared" si="82"/>
        <v>43.75</v>
      </c>
      <c r="P222" s="2">
        <f t="shared" si="82"/>
        <v>56.25</v>
      </c>
    </row>
    <row r="223" spans="3:16">
      <c r="E223" s="101"/>
    </row>
    <row r="224" spans="3:16" s="9" customFormat="1">
      <c r="D224" s="9" t="s">
        <v>173</v>
      </c>
      <c r="E224" s="101" t="str">
        <f>Currency</f>
        <v>$'m</v>
      </c>
      <c r="L224" s="9">
        <f>L212+L222</f>
        <v>18.25</v>
      </c>
      <c r="M224" s="9">
        <f t="shared" ref="M224:P224" si="83">M212+M222</f>
        <v>30.75</v>
      </c>
      <c r="N224" s="9">
        <f t="shared" si="83"/>
        <v>43.25</v>
      </c>
      <c r="O224" s="9">
        <f t="shared" si="83"/>
        <v>55.75</v>
      </c>
      <c r="P224" s="9">
        <f t="shared" si="83"/>
        <v>68.25</v>
      </c>
    </row>
    <row r="225" spans="2:16">
      <c r="E225" s="101"/>
    </row>
    <row r="226" spans="2:16">
      <c r="C226" s="9" t="s">
        <v>174</v>
      </c>
      <c r="E226" s="101"/>
    </row>
    <row r="227" spans="2:16">
      <c r="D227" s="2" t="s">
        <v>175</v>
      </c>
      <c r="E227" s="101" t="str">
        <f>Currency</f>
        <v>$'m</v>
      </c>
      <c r="L227" s="2">
        <f>K230</f>
        <v>2034.6</v>
      </c>
      <c r="M227" s="2">
        <f t="shared" ref="M227:P227" si="84">L230</f>
        <v>2241.35</v>
      </c>
      <c r="N227" s="2">
        <f t="shared" si="84"/>
        <v>2435.6</v>
      </c>
      <c r="O227" s="2">
        <f t="shared" si="84"/>
        <v>2617.35</v>
      </c>
      <c r="P227" s="2">
        <f t="shared" si="84"/>
        <v>2786.6</v>
      </c>
    </row>
    <row r="228" spans="2:16">
      <c r="D228" s="2" t="str">
        <f>D203</f>
        <v>Capex Additions</v>
      </c>
      <c r="E228" s="101" t="str">
        <f>Currency</f>
        <v>$'m</v>
      </c>
      <c r="L228" s="2">
        <f>L203</f>
        <v>225</v>
      </c>
      <c r="M228" s="2">
        <f t="shared" ref="M228:P228" si="85">M203</f>
        <v>225</v>
      </c>
      <c r="N228" s="2">
        <f t="shared" si="85"/>
        <v>225</v>
      </c>
      <c r="O228" s="2">
        <f t="shared" si="85"/>
        <v>225</v>
      </c>
      <c r="P228" s="2">
        <f t="shared" si="85"/>
        <v>225</v>
      </c>
    </row>
    <row r="229" spans="2:16" ht="13.5" thickBot="1">
      <c r="D229" s="2" t="str">
        <f>D224</f>
        <v>Total Depreciation</v>
      </c>
      <c r="E229" s="101" t="str">
        <f>Currency</f>
        <v>$'m</v>
      </c>
      <c r="L229" s="2">
        <f>-L224</f>
        <v>-18.25</v>
      </c>
      <c r="M229" s="2">
        <f t="shared" ref="M229:P229" si="86">-M224</f>
        <v>-30.75</v>
      </c>
      <c r="N229" s="2">
        <f t="shared" si="86"/>
        <v>-43.25</v>
      </c>
      <c r="O229" s="2">
        <f t="shared" si="86"/>
        <v>-55.75</v>
      </c>
      <c r="P229" s="2">
        <f t="shared" si="86"/>
        <v>-68.25</v>
      </c>
    </row>
    <row r="230" spans="2:16" s="9" customFormat="1" ht="14" thickTop="1" thickBot="1">
      <c r="D230" s="9" t="s">
        <v>176</v>
      </c>
      <c r="E230" s="101" t="str">
        <f>Currency</f>
        <v>$'m</v>
      </c>
      <c r="K230" s="126">
        <f>K108</f>
        <v>2034.6</v>
      </c>
      <c r="L230" s="9">
        <f>SUM(L227:L229)</f>
        <v>2241.35</v>
      </c>
      <c r="M230" s="9">
        <f t="shared" ref="M230:P230" si="87">SUM(M227:M229)</f>
        <v>2435.6</v>
      </c>
      <c r="N230" s="9">
        <f t="shared" si="87"/>
        <v>2617.35</v>
      </c>
      <c r="O230" s="9">
        <f t="shared" si="87"/>
        <v>2786.6</v>
      </c>
      <c r="P230" s="9">
        <f t="shared" si="87"/>
        <v>2943.35</v>
      </c>
    </row>
    <row r="231" spans="2:16" ht="13.5" thickTop="1">
      <c r="E231" s="101"/>
    </row>
    <row r="232" spans="2:16">
      <c r="E232" s="101"/>
    </row>
    <row r="233" spans="2:16" ht="20" thickBot="1">
      <c r="B233" s="97" t="s">
        <v>177</v>
      </c>
      <c r="C233" s="97"/>
      <c r="D233" s="97"/>
      <c r="E233" s="147"/>
      <c r="F233" s="97"/>
      <c r="G233" s="97"/>
      <c r="H233" s="97"/>
      <c r="I233" s="97"/>
      <c r="J233" s="97"/>
      <c r="K233" s="97"/>
      <c r="L233" s="97"/>
      <c r="M233" s="97"/>
      <c r="N233" s="97"/>
      <c r="O233" s="97"/>
      <c r="P233" s="97"/>
    </row>
    <row r="234" spans="2:16" ht="14" thickTop="1" thickBot="1">
      <c r="E234" s="101"/>
    </row>
    <row r="235" spans="2:16" ht="14" thickTop="1" thickBot="1">
      <c r="D235" s="2" t="str">
        <f>Assumptions!D67</f>
        <v>Company’s tax rate</v>
      </c>
      <c r="E235" s="101" t="str">
        <f>Assumptions!E67</f>
        <v>%</v>
      </c>
      <c r="F235" s="107">
        <f>Assumptions!F67</f>
        <v>0.35</v>
      </c>
    </row>
    <row r="236" spans="2:16" ht="14" thickTop="1" thickBot="1">
      <c r="E236" s="101"/>
    </row>
    <row r="237" spans="2:16" ht="14" thickTop="1" thickBot="1">
      <c r="D237" s="2" t="str">
        <f>Assumptions!D69</f>
        <v>Reduction due to Timing Differences</v>
      </c>
      <c r="E237" s="101" t="str">
        <f>Assumptions!E69</f>
        <v>$'m</v>
      </c>
      <c r="L237" s="100">
        <f>Assumptions!L69</f>
        <v>100</v>
      </c>
      <c r="M237" s="100">
        <f>Assumptions!M69</f>
        <v>100</v>
      </c>
      <c r="N237" s="100">
        <f>Assumptions!N69</f>
        <v>100</v>
      </c>
      <c r="O237" s="100">
        <f>Assumptions!O69</f>
        <v>100</v>
      </c>
      <c r="P237" s="100">
        <f>Assumptions!P69</f>
        <v>100</v>
      </c>
    </row>
    <row r="238" spans="2:16" ht="13.5" thickTop="1">
      <c r="E238" s="101"/>
    </row>
    <row r="239" spans="2:16">
      <c r="D239" s="2" t="s">
        <v>178</v>
      </c>
      <c r="E239" s="101" t="str">
        <f>E35</f>
        <v>$'m</v>
      </c>
      <c r="L239" s="2">
        <f ca="1">L35</f>
        <v>929.56068295644116</v>
      </c>
      <c r="M239" s="2">
        <f ca="1">M35</f>
        <v>967.1939284573856</v>
      </c>
      <c r="N239" s="2">
        <f ca="1">N35</f>
        <v>1006.6765804902325</v>
      </c>
      <c r="O239" s="2">
        <f ca="1">O35</f>
        <v>1045.9572146661806</v>
      </c>
      <c r="P239" s="2">
        <f ca="1">P35</f>
        <v>1035.7174392750421</v>
      </c>
    </row>
    <row r="240" spans="2:16">
      <c r="D240" s="2" t="str">
        <f>D237</f>
        <v>Reduction due to Timing Differences</v>
      </c>
      <c r="E240" s="101" t="str">
        <f>E237</f>
        <v>$'m</v>
      </c>
      <c r="L240" s="2">
        <f>L237</f>
        <v>100</v>
      </c>
      <c r="M240" s="2">
        <f t="shared" ref="M240:P240" si="88">M237</f>
        <v>100</v>
      </c>
      <c r="N240" s="2">
        <f t="shared" si="88"/>
        <v>100</v>
      </c>
      <c r="O240" s="2">
        <f t="shared" si="88"/>
        <v>100</v>
      </c>
      <c r="P240" s="2">
        <f t="shared" si="88"/>
        <v>100</v>
      </c>
    </row>
    <row r="241" spans="1:16">
      <c r="D241" s="2" t="s">
        <v>179</v>
      </c>
      <c r="E241" s="101" t="str">
        <f>Currency</f>
        <v>$'m</v>
      </c>
      <c r="L241" s="2">
        <f ca="1">L239-L240</f>
        <v>829.56068295644116</v>
      </c>
      <c r="M241" s="2">
        <f t="shared" ref="M241:P241" ca="1" si="89">M239-M240</f>
        <v>867.1939284573856</v>
      </c>
      <c r="N241" s="2">
        <f t="shared" ca="1" si="89"/>
        <v>906.67658049023248</v>
      </c>
      <c r="O241" s="2">
        <f t="shared" ca="1" si="89"/>
        <v>945.95721466618056</v>
      </c>
      <c r="P241" s="2">
        <f t="shared" ca="1" si="89"/>
        <v>935.71743927504212</v>
      </c>
    </row>
    <row r="242" spans="1:16">
      <c r="E242" s="101"/>
    </row>
    <row r="243" spans="1:16">
      <c r="D243" s="2" t="s">
        <v>180</v>
      </c>
      <c r="E243" s="101" t="str">
        <f>Currency</f>
        <v>$'m</v>
      </c>
      <c r="L243" s="2">
        <f ca="1">L239*$F$235</f>
        <v>325.34623903475438</v>
      </c>
      <c r="M243" s="2">
        <f ca="1">M239*$F$235</f>
        <v>338.51787496008495</v>
      </c>
      <c r="N243" s="2">
        <f ca="1">N239*$F$235</f>
        <v>352.33680317158132</v>
      </c>
      <c r="O243" s="2">
        <f ca="1">O239*$F$235</f>
        <v>366.08502513316319</v>
      </c>
      <c r="P243" s="2">
        <f ca="1">P239*$F$235</f>
        <v>362.50110374626473</v>
      </c>
    </row>
    <row r="244" spans="1:16">
      <c r="E244" s="101"/>
    </row>
    <row r="245" spans="1:16" s="89" customFormat="1">
      <c r="A245" s="2"/>
      <c r="B245" s="2"/>
      <c r="C245" s="2"/>
      <c r="D245" s="128" t="str">
        <f t="shared" ref="D245:E247" si="90">D37</f>
        <v>Current Taxes</v>
      </c>
      <c r="E245" s="162" t="str">
        <f t="shared" si="90"/>
        <v>$'m</v>
      </c>
      <c r="L245" s="89">
        <f ca="1">L241*$F$235</f>
        <v>290.34623903475438</v>
      </c>
      <c r="M245" s="89">
        <f t="shared" ref="M245:P245" ca="1" si="91">M241*$F$235</f>
        <v>303.51787496008495</v>
      </c>
      <c r="N245" s="89">
        <f t="shared" ca="1" si="91"/>
        <v>317.33680317158132</v>
      </c>
      <c r="O245" s="89">
        <f t="shared" ca="1" si="91"/>
        <v>331.08502513316319</v>
      </c>
      <c r="P245" s="89">
        <f t="shared" ca="1" si="91"/>
        <v>327.50110374626473</v>
      </c>
    </row>
    <row r="246" spans="1:16" s="92" customFormat="1">
      <c r="A246" s="2"/>
      <c r="B246" s="2"/>
      <c r="C246" s="2"/>
      <c r="D246" s="119" t="str">
        <f t="shared" si="90"/>
        <v>Deferred Income Taxes</v>
      </c>
      <c r="E246" s="163" t="str">
        <f t="shared" si="90"/>
        <v>$'m</v>
      </c>
      <c r="L246" s="92">
        <f>L240*$F$235</f>
        <v>35</v>
      </c>
      <c r="M246" s="92">
        <f t="shared" ref="M246:P246" si="92">M240*$F$235</f>
        <v>35</v>
      </c>
      <c r="N246" s="92">
        <f t="shared" si="92"/>
        <v>35</v>
      </c>
      <c r="O246" s="92">
        <f t="shared" si="92"/>
        <v>35</v>
      </c>
      <c r="P246" s="92">
        <f t="shared" si="92"/>
        <v>35</v>
      </c>
    </row>
    <row r="247" spans="1:16" s="25" customFormat="1">
      <c r="A247" s="2"/>
      <c r="B247" s="2"/>
      <c r="C247" s="2"/>
      <c r="D247" s="120" t="str">
        <f t="shared" si="90"/>
        <v>Total Income Taxes</v>
      </c>
      <c r="E247" s="156" t="str">
        <f t="shared" si="90"/>
        <v>$'m</v>
      </c>
      <c r="L247" s="25">
        <f ca="1">SUM(L245:L246)</f>
        <v>325.34623903475438</v>
      </c>
      <c r="M247" s="25">
        <f t="shared" ref="M247:P247" ca="1" si="93">SUM(M245:M246)</f>
        <v>338.51787496008495</v>
      </c>
      <c r="N247" s="25">
        <f t="shared" ca="1" si="93"/>
        <v>352.33680317158132</v>
      </c>
      <c r="O247" s="25">
        <f t="shared" ca="1" si="93"/>
        <v>366.08502513316319</v>
      </c>
      <c r="P247" s="25">
        <f t="shared" ca="1" si="93"/>
        <v>362.50110374626473</v>
      </c>
    </row>
    <row r="248" spans="1:16">
      <c r="E248" s="101"/>
    </row>
    <row r="249" spans="1:16">
      <c r="D249" s="127" t="s">
        <v>75</v>
      </c>
      <c r="E249" s="101"/>
      <c r="F249" s="127"/>
      <c r="G249" s="127"/>
      <c r="H249" s="127"/>
      <c r="I249" s="127"/>
      <c r="J249" s="127"/>
      <c r="K249" s="127"/>
      <c r="L249" s="127">
        <f ca="1">L247-L243</f>
        <v>0</v>
      </c>
      <c r="M249" s="127">
        <f t="shared" ref="M249:P249" ca="1" si="94">M247-M243</f>
        <v>0</v>
      </c>
      <c r="N249" s="127">
        <f t="shared" ca="1" si="94"/>
        <v>0</v>
      </c>
      <c r="O249" s="127">
        <f t="shared" ca="1" si="94"/>
        <v>0</v>
      </c>
      <c r="P249" s="127">
        <f t="shared" ca="1" si="94"/>
        <v>0</v>
      </c>
    </row>
    <row r="250" spans="1:16">
      <c r="E250" s="101"/>
    </row>
    <row r="251" spans="1:16">
      <c r="E251" s="101"/>
    </row>
    <row r="252" spans="1:16" ht="20" thickBot="1">
      <c r="B252" s="97" t="s">
        <v>181</v>
      </c>
      <c r="C252" s="97"/>
      <c r="D252" s="97"/>
      <c r="E252" s="147"/>
      <c r="F252" s="97"/>
      <c r="G252" s="97"/>
      <c r="H252" s="97"/>
      <c r="I252" s="97"/>
      <c r="J252" s="97"/>
      <c r="K252" s="97"/>
      <c r="L252" s="97"/>
      <c r="M252" s="97"/>
      <c r="N252" s="97"/>
      <c r="O252" s="97"/>
      <c r="P252" s="97"/>
    </row>
    <row r="253" spans="1:16" ht="14" thickTop="1" thickBot="1">
      <c r="E253" s="101"/>
    </row>
    <row r="254" spans="1:16" ht="14" thickTop="1" thickBot="1">
      <c r="D254" s="2" t="str">
        <f>Assumptions!D74</f>
        <v>Days in the Year</v>
      </c>
      <c r="E254" s="101" t="str">
        <f>Assumptions!E74</f>
        <v>Days</v>
      </c>
      <c r="I254" s="114">
        <f>Assumptions!I74</f>
        <v>365</v>
      </c>
      <c r="J254" s="114">
        <f>Assumptions!J74</f>
        <v>365</v>
      </c>
      <c r="K254" s="114">
        <f>Assumptions!K74</f>
        <v>365</v>
      </c>
      <c r="L254" s="114">
        <f>Assumptions!L74</f>
        <v>366</v>
      </c>
      <c r="M254" s="114">
        <f>Assumptions!M74</f>
        <v>365</v>
      </c>
      <c r="N254" s="114">
        <f>Assumptions!N74</f>
        <v>365</v>
      </c>
      <c r="O254" s="114">
        <f>Assumptions!O74</f>
        <v>365</v>
      </c>
      <c r="P254" s="114">
        <f>Assumptions!P74</f>
        <v>366</v>
      </c>
    </row>
    <row r="255" spans="1:16" ht="13.5" thickTop="1">
      <c r="E255" s="101"/>
    </row>
    <row r="256" spans="1:16" ht="13.5" thickBot="1">
      <c r="C256" s="9" t="str">
        <f>Assumptions!C76</f>
        <v>Extract</v>
      </c>
      <c r="E256" s="101"/>
    </row>
    <row r="257" spans="3:16" ht="14" thickTop="1" thickBot="1">
      <c r="D257" s="2" t="str">
        <f>Assumptions!D77</f>
        <v>Net Revenue</v>
      </c>
      <c r="E257" s="101" t="str">
        <f>Assumptions!E77</f>
        <v>$'m</v>
      </c>
      <c r="I257" s="100">
        <f>Assumptions!I77</f>
        <v>5118.4000000000005</v>
      </c>
      <c r="J257" s="100">
        <f>Assumptions!J77</f>
        <v>5392.4</v>
      </c>
      <c r="K257" s="100">
        <f>Assumptions!K77</f>
        <v>5277.2000000000007</v>
      </c>
      <c r="L257" s="2">
        <f>L21</f>
        <v>5839.4111841090653</v>
      </c>
      <c r="M257" s="2">
        <f>M21</f>
        <v>6070.9021274791021</v>
      </c>
      <c r="N257" s="2">
        <f>N21</f>
        <v>6310.3179860275732</v>
      </c>
      <c r="O257" s="2">
        <f>O21</f>
        <v>6557.9103236737938</v>
      </c>
      <c r="P257" s="2">
        <f>P21</f>
        <v>6734</v>
      </c>
    </row>
    <row r="258" spans="3:16" ht="14" thickTop="1" thickBot="1">
      <c r="D258" s="2" t="str">
        <f>Assumptions!D78</f>
        <v>Cost of Sales</v>
      </c>
      <c r="E258" s="101" t="str">
        <f>Assumptions!E78</f>
        <v>$'m</v>
      </c>
      <c r="I258" s="100">
        <f>Assumptions!I78</f>
        <v>3243.3</v>
      </c>
      <c r="J258" s="100">
        <f>Assumptions!J78</f>
        <v>3403.7</v>
      </c>
      <c r="K258" s="100">
        <f>Assumptions!K78</f>
        <v>3322.3</v>
      </c>
      <c r="L258" s="2">
        <f>L23</f>
        <v>3473.2985349999999</v>
      </c>
      <c r="M258" s="2">
        <f>M23</f>
        <v>3631.6886476262498</v>
      </c>
      <c r="N258" s="2">
        <f>N23</f>
        <v>3797.8516206104132</v>
      </c>
      <c r="O258" s="2">
        <f>O23</f>
        <v>3972.1890692648135</v>
      </c>
      <c r="P258" s="2">
        <f>P23</f>
        <v>4124.4513183688814</v>
      </c>
    </row>
    <row r="259" spans="3:16" ht="13.5" thickTop="1">
      <c r="E259" s="101"/>
    </row>
    <row r="260" spans="3:16" ht="13.5" thickBot="1">
      <c r="C260" s="9" t="str">
        <f>Assumptions!C80</f>
        <v>Balances</v>
      </c>
      <c r="E260" s="101"/>
    </row>
    <row r="261" spans="3:16" ht="14" thickTop="1" thickBot="1">
      <c r="D261" s="2" t="str">
        <f>Assumptions!D81</f>
        <v>Accounts Receivable</v>
      </c>
      <c r="E261" s="101" t="str">
        <f>Assumptions!E81</f>
        <v>$'m</v>
      </c>
      <c r="I261" s="100">
        <f>Assumptions!I81</f>
        <v>787.2</v>
      </c>
      <c r="J261" s="100">
        <f>Assumptions!J81</f>
        <v>882.6</v>
      </c>
      <c r="K261" s="100">
        <f>Assumptions!K81</f>
        <v>869.2</v>
      </c>
      <c r="L261" s="2">
        <f>L271/L254*L257</f>
        <v>935.9875115743298</v>
      </c>
      <c r="M261" s="2">
        <f t="shared" ref="M261:P261" si="95">M271/M254*M257</f>
        <v>975.75873826476686</v>
      </c>
      <c r="N261" s="2">
        <f t="shared" si="95"/>
        <v>1014.2393645625322</v>
      </c>
      <c r="O261" s="2">
        <f t="shared" si="95"/>
        <v>1054.0341729637705</v>
      </c>
      <c r="P261" s="2">
        <f t="shared" si="95"/>
        <v>1079.3793593597045</v>
      </c>
    </row>
    <row r="262" spans="3:16" ht="14" thickTop="1" thickBot="1">
      <c r="D262" s="2" t="str">
        <f>Assumptions!D82</f>
        <v>Inventory</v>
      </c>
      <c r="E262" s="101" t="str">
        <f>Assumptions!E82</f>
        <v>$'m</v>
      </c>
      <c r="I262" s="100">
        <f>Assumptions!I82</f>
        <v>915.9</v>
      </c>
      <c r="J262" s="100">
        <f>Assumptions!J82</f>
        <v>951</v>
      </c>
      <c r="K262" s="100">
        <f>Assumptions!K82</f>
        <v>929.9</v>
      </c>
      <c r="L262" s="2">
        <f>L272/L$254*L$258</f>
        <v>971.82444643749307</v>
      </c>
      <c r="M262" s="2">
        <f t="shared" ref="M262:P262" si="96">M272/M$254*M$258</f>
        <v>1018.9257456103059</v>
      </c>
      <c r="N262" s="2">
        <f t="shared" si="96"/>
        <v>1065.5453068029694</v>
      </c>
      <c r="O262" s="2">
        <f t="shared" si="96"/>
        <v>1114.4583420583708</v>
      </c>
      <c r="P262" s="2">
        <f t="shared" si="96"/>
        <v>1154.0161546557722</v>
      </c>
    </row>
    <row r="263" spans="3:16" ht="14" thickTop="1" thickBot="1">
      <c r="D263" s="2" t="str">
        <f>Assumptions!D83</f>
        <v>Other</v>
      </c>
      <c r="E263" s="101" t="str">
        <f>Assumptions!E83</f>
        <v>$'m</v>
      </c>
      <c r="I263" s="100">
        <f>Assumptions!I83</f>
        <v>185.8</v>
      </c>
      <c r="J263" s="100">
        <f>Assumptions!J83</f>
        <v>181.3</v>
      </c>
      <c r="K263" s="100">
        <f>Assumptions!K83</f>
        <v>183.7</v>
      </c>
      <c r="L263" s="2">
        <f>L273/L$254*L$258</f>
        <v>191.48617114494411</v>
      </c>
      <c r="M263" s="2">
        <f t="shared" ref="M263:P263" si="97">M273/M$254*M$258</f>
        <v>200.76690849171197</v>
      </c>
      <c r="N263" s="2">
        <f t="shared" si="97"/>
        <v>209.95272523666534</v>
      </c>
      <c r="O263" s="2">
        <f t="shared" si="97"/>
        <v>219.59044311304609</v>
      </c>
      <c r="P263" s="2">
        <f t="shared" si="97"/>
        <v>227.38482830361542</v>
      </c>
    </row>
    <row r="264" spans="3:16" s="9" customFormat="1" ht="14" thickTop="1" thickBot="1">
      <c r="D264" s="9" t="str">
        <f>Assumptions!D84</f>
        <v>Current Assets</v>
      </c>
      <c r="E264" s="101" t="str">
        <f>Assumptions!E84</f>
        <v>$'m</v>
      </c>
      <c r="I264" s="126">
        <f>Assumptions!I84</f>
        <v>1888.8999999999999</v>
      </c>
      <c r="J264" s="126">
        <f>Assumptions!J84</f>
        <v>2014.8999999999999</v>
      </c>
      <c r="K264" s="126">
        <f>Assumptions!K84</f>
        <v>1982.8</v>
      </c>
      <c r="L264" s="9">
        <f>SUM(L261:L263)</f>
        <v>2099.2981291567667</v>
      </c>
      <c r="M264" s="9">
        <f t="shared" ref="M264:P264" si="98">SUM(M261:M263)</f>
        <v>2195.4513923667846</v>
      </c>
      <c r="N264" s="9">
        <f t="shared" si="98"/>
        <v>2289.7373966021669</v>
      </c>
      <c r="O264" s="9">
        <f t="shared" si="98"/>
        <v>2388.0829581351877</v>
      </c>
      <c r="P264" s="9">
        <f t="shared" si="98"/>
        <v>2460.7803423190921</v>
      </c>
    </row>
    <row r="265" spans="3:16" ht="14" thickTop="1" thickBot="1">
      <c r="E265" s="101"/>
    </row>
    <row r="266" spans="3:16" ht="14" thickTop="1" thickBot="1">
      <c r="D266" s="2" t="str">
        <f>Assumptions!D86</f>
        <v>Accounts Payable</v>
      </c>
      <c r="E266" s="101" t="str">
        <f>Assumptions!E86</f>
        <v>$'m</v>
      </c>
      <c r="I266" s="100">
        <f>Assumptions!I86</f>
        <v>375</v>
      </c>
      <c r="J266" s="100">
        <f>Assumptions!J86</f>
        <v>378</v>
      </c>
      <c r="K266" s="100">
        <f>Assumptions!K86</f>
        <v>349.2</v>
      </c>
      <c r="L266" s="2">
        <f>L276/L$254*L$258</f>
        <v>383.08164903662163</v>
      </c>
      <c r="M266" s="2">
        <f t="shared" ref="M266:P266" si="99">M276/M$254*M$258</f>
        <v>401.64842148717338</v>
      </c>
      <c r="N266" s="2">
        <f t="shared" si="99"/>
        <v>420.02529855022425</v>
      </c>
      <c r="O266" s="2">
        <f t="shared" si="99"/>
        <v>439.30623583649441</v>
      </c>
      <c r="P266" s="2">
        <f t="shared" si="99"/>
        <v>454.899455514848</v>
      </c>
    </row>
    <row r="267" spans="3:16" ht="14" thickTop="1" thickBot="1">
      <c r="D267" s="2" t="str">
        <f>Assumptions!D87</f>
        <v>Other</v>
      </c>
      <c r="E267" s="101" t="str">
        <f>Assumptions!E87</f>
        <v>$'m</v>
      </c>
      <c r="I267" s="100">
        <f>Assumptions!I87</f>
        <v>4.9000000000000004</v>
      </c>
      <c r="J267" s="100">
        <f>Assumptions!J87</f>
        <v>5.8</v>
      </c>
      <c r="K267" s="100">
        <f>Assumptions!K87</f>
        <v>5.3</v>
      </c>
      <c r="L267" s="2">
        <f>L277/L$254*L$258</f>
        <v>5.5537729246405734</v>
      </c>
      <c r="M267" s="2">
        <f t="shared" ref="M267:P267" si="100">M277/M$254*M$258</f>
        <v>5.8229469725051821</v>
      </c>
      <c r="N267" s="2">
        <f t="shared" si="100"/>
        <v>6.0893679888312962</v>
      </c>
      <c r="O267" s="2">
        <f t="shared" si="100"/>
        <v>6.3688957284958585</v>
      </c>
      <c r="P267" s="2">
        <f t="shared" si="100"/>
        <v>6.5949603324135833</v>
      </c>
    </row>
    <row r="268" spans="3:16" s="9" customFormat="1" ht="14" thickTop="1" thickBot="1">
      <c r="D268" s="9" t="str">
        <f>Assumptions!D88</f>
        <v>Current Liabilities</v>
      </c>
      <c r="E268" s="101" t="str">
        <f>Assumptions!E88</f>
        <v>$'m</v>
      </c>
      <c r="I268" s="126">
        <f>Assumptions!I88</f>
        <v>379.9</v>
      </c>
      <c r="J268" s="126">
        <f>Assumptions!J88</f>
        <v>383.8</v>
      </c>
      <c r="K268" s="126">
        <f>Assumptions!K88</f>
        <v>354.5</v>
      </c>
      <c r="L268" s="9">
        <f>SUM(L266:L267)</f>
        <v>388.63542196126218</v>
      </c>
      <c r="M268" s="9">
        <f t="shared" ref="M268:P268" si="101">SUM(M266:M267)</f>
        <v>407.47136845967856</v>
      </c>
      <c r="N268" s="9">
        <f t="shared" si="101"/>
        <v>426.11466653905552</v>
      </c>
      <c r="O268" s="9">
        <f t="shared" si="101"/>
        <v>445.67513156499029</v>
      </c>
      <c r="P268" s="9">
        <f t="shared" si="101"/>
        <v>461.49441584726156</v>
      </c>
    </row>
    <row r="269" spans="3:16" ht="13.5" thickTop="1">
      <c r="E269" s="101"/>
    </row>
    <row r="270" spans="3:16" ht="13.5" thickBot="1">
      <c r="C270" s="9" t="str">
        <f>Assumptions!C90</f>
        <v>Days</v>
      </c>
      <c r="E270" s="101"/>
    </row>
    <row r="271" spans="3:16" ht="14" thickTop="1" thickBot="1">
      <c r="D271" s="2" t="str">
        <f>Assumptions!D91</f>
        <v>Accounts Receivable</v>
      </c>
      <c r="E271" s="101" t="str">
        <f>Assumptions!E91</f>
        <v>Days</v>
      </c>
      <c r="I271" s="100">
        <f>Assumptions!I91</f>
        <v>56.136292591434824</v>
      </c>
      <c r="J271" s="100">
        <f>Assumptions!J91</f>
        <v>59.741302573993032</v>
      </c>
      <c r="K271" s="100">
        <f>Assumptions!K91</f>
        <v>60.118623512468723</v>
      </c>
      <c r="L271" s="100">
        <f>Assumptions!L91</f>
        <v>58.665406225965533</v>
      </c>
      <c r="M271" s="100">
        <f>Assumptions!M91</f>
        <v>58.665406225965533</v>
      </c>
      <c r="N271" s="100">
        <f>Assumptions!N91</f>
        <v>58.665406225965533</v>
      </c>
      <c r="O271" s="100">
        <f>Assumptions!O91</f>
        <v>58.665406225965533</v>
      </c>
      <c r="P271" s="100">
        <f>Assumptions!P91</f>
        <v>58.665406225965533</v>
      </c>
    </row>
    <row r="272" spans="3:16" ht="14" thickTop="1" thickBot="1">
      <c r="D272" s="2" t="str">
        <f>Assumptions!D92</f>
        <v>Inventory</v>
      </c>
      <c r="E272" s="101" t="str">
        <f>Assumptions!E92</f>
        <v>Days</v>
      </c>
      <c r="I272" s="100">
        <f>Assumptions!I92</f>
        <v>103.075108685598</v>
      </c>
      <c r="J272" s="100">
        <f>Assumptions!J92</f>
        <v>101.98166700943091</v>
      </c>
      <c r="K272" s="100">
        <f>Assumptions!K92</f>
        <v>102.16220690485507</v>
      </c>
      <c r="L272" s="100">
        <f>Assumptions!L92</f>
        <v>102.40632753329466</v>
      </c>
      <c r="M272" s="100">
        <f>Assumptions!M92</f>
        <v>102.40632753329466</v>
      </c>
      <c r="N272" s="100">
        <f>Assumptions!N92</f>
        <v>102.40632753329466</v>
      </c>
      <c r="O272" s="100">
        <f>Assumptions!O92</f>
        <v>102.40632753329466</v>
      </c>
      <c r="P272" s="100">
        <f>Assumptions!P92</f>
        <v>102.40632753329466</v>
      </c>
    </row>
    <row r="273" spans="2:16" ht="14" thickTop="1" thickBot="1">
      <c r="D273" s="2" t="str">
        <f>Assumptions!D93</f>
        <v>Other</v>
      </c>
      <c r="E273" s="101" t="str">
        <f>Assumptions!E93</f>
        <v>Days</v>
      </c>
      <c r="I273" s="100">
        <f>Assumptions!I93</f>
        <v>20.909875743841148</v>
      </c>
      <c r="J273" s="100">
        <f>Assumptions!J93</f>
        <v>19.441930839968272</v>
      </c>
      <c r="K273" s="100">
        <f>Assumptions!K93</f>
        <v>20.181952261987178</v>
      </c>
      <c r="L273" s="100">
        <f>Assumptions!L93</f>
        <v>20.177919615265534</v>
      </c>
      <c r="M273" s="100">
        <f>Assumptions!M93</f>
        <v>20.177919615265534</v>
      </c>
      <c r="N273" s="100">
        <f>Assumptions!N93</f>
        <v>20.177919615265534</v>
      </c>
      <c r="O273" s="100">
        <f>Assumptions!O93</f>
        <v>20.177919615265534</v>
      </c>
      <c r="P273" s="100">
        <f>Assumptions!P93</f>
        <v>20.177919615265534</v>
      </c>
    </row>
    <row r="274" spans="2:16" ht="13.5" thickTop="1">
      <c r="E274" s="101"/>
    </row>
    <row r="275" spans="2:16" ht="13.5" thickBot="1">
      <c r="E275" s="101"/>
    </row>
    <row r="276" spans="2:16" ht="14" thickTop="1" thickBot="1">
      <c r="D276" s="2" t="str">
        <f>Assumptions!D96</f>
        <v>Accounts Payable</v>
      </c>
      <c r="E276" s="101" t="str">
        <f>Assumptions!E96</f>
        <v>Days</v>
      </c>
      <c r="I276" s="100">
        <f>Assumptions!I96</f>
        <v>42.20238645823698</v>
      </c>
      <c r="J276" s="100">
        <f>Assumptions!J96</f>
        <v>40.535299820783266</v>
      </c>
      <c r="K276" s="100">
        <f>Assumptions!K96</f>
        <v>38.364386118050746</v>
      </c>
      <c r="L276" s="100">
        <f>Assumptions!L96</f>
        <v>40.367357465690326</v>
      </c>
      <c r="M276" s="100">
        <f>Assumptions!M96</f>
        <v>40.367357465690326</v>
      </c>
      <c r="N276" s="100">
        <f>Assumptions!N96</f>
        <v>40.367357465690326</v>
      </c>
      <c r="O276" s="100">
        <f>Assumptions!O96</f>
        <v>40.367357465690326</v>
      </c>
      <c r="P276" s="100">
        <f>Assumptions!P96</f>
        <v>40.367357465690326</v>
      </c>
    </row>
    <row r="277" spans="2:16" ht="14" thickTop="1" thickBot="1">
      <c r="D277" s="2" t="str">
        <f>Assumptions!D97</f>
        <v>Other</v>
      </c>
      <c r="E277" s="101" t="str">
        <f>Assumptions!E97</f>
        <v>Days</v>
      </c>
      <c r="I277" s="100">
        <f>Assumptions!I97</f>
        <v>0.55144451638762981</v>
      </c>
      <c r="J277" s="100">
        <f>Assumptions!J97</f>
        <v>0.62197020889032528</v>
      </c>
      <c r="K277" s="100">
        <f>Assumptions!K97</f>
        <v>0.5822773379887427</v>
      </c>
      <c r="L277" s="100">
        <f>Assumptions!L97</f>
        <v>0.58523068775556597</v>
      </c>
      <c r="M277" s="100">
        <f>Assumptions!M97</f>
        <v>0.58523068775556597</v>
      </c>
      <c r="N277" s="100">
        <f>Assumptions!N97</f>
        <v>0.58523068775556597</v>
      </c>
      <c r="O277" s="100">
        <f>Assumptions!O97</f>
        <v>0.58523068775556597</v>
      </c>
      <c r="P277" s="100">
        <f>Assumptions!P97</f>
        <v>0.58523068775556597</v>
      </c>
    </row>
    <row r="278" spans="2:16" ht="13.5" thickTop="1">
      <c r="E278" s="101"/>
    </row>
    <row r="279" spans="2:16">
      <c r="D279" s="2" t="s">
        <v>182</v>
      </c>
      <c r="E279" s="101" t="str">
        <f>Currency</f>
        <v>$'m</v>
      </c>
      <c r="K279" s="2">
        <f>K264-K268</f>
        <v>1628.3</v>
      </c>
      <c r="L279" s="2">
        <f t="shared" ref="L279:P279" si="102">L264-L268</f>
        <v>1710.6627071955045</v>
      </c>
      <c r="M279" s="2">
        <f t="shared" si="102"/>
        <v>1787.980023907106</v>
      </c>
      <c r="N279" s="2">
        <f t="shared" si="102"/>
        <v>1863.6227300631112</v>
      </c>
      <c r="O279" s="2">
        <f t="shared" si="102"/>
        <v>1942.4078265701974</v>
      </c>
      <c r="P279" s="2">
        <f t="shared" si="102"/>
        <v>1999.2859264718306</v>
      </c>
    </row>
    <row r="280" spans="2:16">
      <c r="E280" s="101"/>
    </row>
    <row r="281" spans="2:16" s="9" customFormat="1">
      <c r="D281" s="9" t="s">
        <v>183</v>
      </c>
      <c r="E281" s="101" t="str">
        <f>Currency</f>
        <v>$'m</v>
      </c>
      <c r="L281" s="9">
        <f>K279-L279</f>
        <v>-82.362707195504527</v>
      </c>
      <c r="M281" s="9">
        <f t="shared" ref="M281:P281" si="103">L279-M279</f>
        <v>-77.317316711601507</v>
      </c>
      <c r="N281" s="9">
        <f t="shared" si="103"/>
        <v>-75.642706156005261</v>
      </c>
      <c r="O281" s="9">
        <f t="shared" si="103"/>
        <v>-78.785096507086109</v>
      </c>
      <c r="P281" s="9">
        <f t="shared" si="103"/>
        <v>-56.878099901633277</v>
      </c>
    </row>
    <row r="282" spans="2:16">
      <c r="E282" s="101"/>
    </row>
    <row r="283" spans="2:16">
      <c r="E283" s="101"/>
    </row>
    <row r="284" spans="2:16" ht="20" thickBot="1">
      <c r="B284" s="97" t="s">
        <v>184</v>
      </c>
      <c r="C284" s="97"/>
      <c r="D284" s="97"/>
      <c r="E284" s="147"/>
      <c r="F284" s="97"/>
      <c r="G284" s="97"/>
      <c r="H284" s="97"/>
      <c r="I284" s="97"/>
      <c r="J284" s="97"/>
      <c r="K284" s="97"/>
      <c r="L284" s="97"/>
      <c r="M284" s="97"/>
      <c r="N284" s="97"/>
      <c r="O284" s="97"/>
      <c r="P284" s="97"/>
    </row>
    <row r="285" spans="2:16" ht="13.5" thickTop="1">
      <c r="E285" s="101"/>
    </row>
    <row r="286" spans="2:16" ht="13.5" thickBot="1">
      <c r="C286" s="9" t="str">
        <f>Assumptions!C102</f>
        <v>Preferred Shares</v>
      </c>
      <c r="E286" s="101"/>
    </row>
    <row r="287" spans="2:16" ht="14" thickTop="1" thickBot="1">
      <c r="D287" s="2" t="str">
        <f>Assumptions!D103</f>
        <v>Issuance of Preferred Shares</v>
      </c>
      <c r="E287" s="101" t="str">
        <f>Assumptions!E103</f>
        <v>$'m</v>
      </c>
      <c r="L287" s="129">
        <f>Assumptions!L103</f>
        <v>0</v>
      </c>
      <c r="M287" s="129">
        <f>Assumptions!M103</f>
        <v>50</v>
      </c>
      <c r="N287" s="129">
        <f>Assumptions!N103</f>
        <v>0</v>
      </c>
      <c r="O287" s="129">
        <f>Assumptions!O103</f>
        <v>0</v>
      </c>
      <c r="P287" s="129">
        <f>Assumptions!P103</f>
        <v>0</v>
      </c>
    </row>
    <row r="288" spans="2:16" ht="14" thickTop="1" thickBot="1">
      <c r="D288" s="2" t="str">
        <f>Assumptions!D104</f>
        <v>Dividend Payout</v>
      </c>
      <c r="E288" s="101" t="str">
        <f>Assumptions!E104</f>
        <v>%</v>
      </c>
      <c r="F288" s="107">
        <f>Assumptions!F104</f>
        <v>9.2499999999999999E-2</v>
      </c>
    </row>
    <row r="289" spans="3:16" ht="13.5" thickTop="1">
      <c r="E289" s="101"/>
    </row>
    <row r="290" spans="3:16">
      <c r="D290" s="2" t="str">
        <f>D227</f>
        <v>Opening Balance</v>
      </c>
      <c r="E290" s="101" t="str">
        <f>Currency</f>
        <v>$'m</v>
      </c>
      <c r="L290" s="2">
        <f>K292</f>
        <v>0</v>
      </c>
      <c r="M290" s="2">
        <f t="shared" ref="M290:P290" si="104">L292</f>
        <v>0</v>
      </c>
      <c r="N290" s="2">
        <f t="shared" si="104"/>
        <v>50</v>
      </c>
      <c r="O290" s="2">
        <f t="shared" si="104"/>
        <v>50</v>
      </c>
      <c r="P290" s="2">
        <f t="shared" si="104"/>
        <v>50</v>
      </c>
    </row>
    <row r="291" spans="3:16" ht="13.5" thickBot="1">
      <c r="D291" s="2" t="str">
        <f>D287</f>
        <v>Issuance of Preferred Shares</v>
      </c>
      <c r="E291" s="101" t="str">
        <f>Currency</f>
        <v>$'m</v>
      </c>
      <c r="L291" s="2">
        <f>L287</f>
        <v>0</v>
      </c>
      <c r="M291" s="2">
        <f t="shared" ref="M291:P291" si="105">M287</f>
        <v>50</v>
      </c>
      <c r="N291" s="2">
        <f t="shared" si="105"/>
        <v>0</v>
      </c>
      <c r="O291" s="2">
        <f t="shared" si="105"/>
        <v>0</v>
      </c>
      <c r="P291" s="2">
        <f t="shared" si="105"/>
        <v>0</v>
      </c>
    </row>
    <row r="292" spans="3:16" s="9" customFormat="1" ht="14" thickTop="1" thickBot="1">
      <c r="D292" s="9" t="str">
        <f>D230</f>
        <v>Closing Balance</v>
      </c>
      <c r="E292" s="101" t="str">
        <f>Currency</f>
        <v>$'m</v>
      </c>
      <c r="K292" s="126">
        <f>K131</f>
        <v>0</v>
      </c>
      <c r="L292" s="9">
        <f>SUM(L290:L291)</f>
        <v>0</v>
      </c>
      <c r="M292" s="9">
        <f t="shared" ref="M292:P292" si="106">SUM(M290:M291)</f>
        <v>50</v>
      </c>
      <c r="N292" s="9">
        <f t="shared" si="106"/>
        <v>50</v>
      </c>
      <c r="O292" s="9">
        <f t="shared" si="106"/>
        <v>50</v>
      </c>
      <c r="P292" s="9">
        <f t="shared" si="106"/>
        <v>50</v>
      </c>
    </row>
    <row r="293" spans="3:16" ht="13.5" thickTop="1">
      <c r="E293" s="101"/>
    </row>
    <row r="294" spans="3:16">
      <c r="D294" s="2" t="s">
        <v>197</v>
      </c>
      <c r="E294" s="101" t="str">
        <f>Currency</f>
        <v>$'m</v>
      </c>
      <c r="L294" s="2">
        <f>AVERAGE(K292:L292)*$F$288</f>
        <v>0</v>
      </c>
      <c r="M294" s="2">
        <f>AVERAGE(L292:M292)*$F$288</f>
        <v>2.3125</v>
      </c>
      <c r="N294" s="2">
        <f>AVERAGE(M292:N292)*$F$288</f>
        <v>4.625</v>
      </c>
      <c r="O294" s="2">
        <f>AVERAGE(N292:O292)*$F$288</f>
        <v>4.625</v>
      </c>
      <c r="P294" s="2">
        <f>AVERAGE(O292:P292)*$F$288</f>
        <v>4.625</v>
      </c>
    </row>
    <row r="295" spans="3:16">
      <c r="E295" s="101"/>
    </row>
    <row r="296" spans="3:16" ht="13.5" thickBot="1">
      <c r="C296" s="9" t="str">
        <f>Assumptions!C106</f>
        <v>Common Share</v>
      </c>
      <c r="E296" s="101"/>
    </row>
    <row r="297" spans="3:16" ht="14" thickTop="1" thickBot="1">
      <c r="D297" s="2" t="str">
        <f>Assumptions!D107</f>
        <v>Common Share repurchases</v>
      </c>
      <c r="E297" s="101" t="str">
        <f>Assumptions!E107</f>
        <v>$'m</v>
      </c>
      <c r="L297" s="100">
        <f>Assumptions!L107</f>
        <v>100</v>
      </c>
      <c r="M297" s="100">
        <f>Assumptions!M107</f>
        <v>100</v>
      </c>
      <c r="N297" s="100">
        <f>Assumptions!N107</f>
        <v>0</v>
      </c>
      <c r="O297" s="100">
        <f>Assumptions!O107</f>
        <v>0</v>
      </c>
      <c r="P297" s="100">
        <f>Assumptions!P107</f>
        <v>0</v>
      </c>
    </row>
    <row r="298" spans="3:16" ht="14" thickTop="1" thickBot="1">
      <c r="D298" s="2" t="str">
        <f>Assumptions!D108</f>
        <v>Dividend Payout</v>
      </c>
      <c r="E298" s="101" t="str">
        <f>Assumptions!E108</f>
        <v>%</v>
      </c>
      <c r="F298" s="107">
        <f>Assumptions!F108</f>
        <v>0.35</v>
      </c>
    </row>
    <row r="299" spans="3:16" ht="13.5" thickTop="1">
      <c r="E299" s="101"/>
    </row>
    <row r="300" spans="3:16">
      <c r="D300" s="2" t="str">
        <f>D290</f>
        <v>Opening Balance</v>
      </c>
      <c r="E300" s="101" t="str">
        <f>Currency</f>
        <v>$'m</v>
      </c>
      <c r="L300" s="2">
        <f>K302</f>
        <v>349.1</v>
      </c>
      <c r="M300" s="2">
        <f t="shared" ref="M300:P300" si="107">L302</f>
        <v>249.10000000000002</v>
      </c>
      <c r="N300" s="2">
        <f t="shared" si="107"/>
        <v>149.10000000000002</v>
      </c>
      <c r="O300" s="2">
        <f t="shared" si="107"/>
        <v>149.10000000000002</v>
      </c>
      <c r="P300" s="2">
        <f t="shared" si="107"/>
        <v>149.10000000000002</v>
      </c>
    </row>
    <row r="301" spans="3:16" ht="13.5" thickBot="1">
      <c r="D301" s="2" t="str">
        <f>D297</f>
        <v>Common Share repurchases</v>
      </c>
      <c r="E301" s="101" t="str">
        <f>Currency</f>
        <v>$'m</v>
      </c>
      <c r="L301" s="2">
        <f>-L297</f>
        <v>-100</v>
      </c>
      <c r="M301" s="2">
        <f t="shared" ref="M301:P301" si="108">-M297</f>
        <v>-100</v>
      </c>
      <c r="N301" s="2">
        <f t="shared" si="108"/>
        <v>0</v>
      </c>
      <c r="O301" s="2">
        <f t="shared" si="108"/>
        <v>0</v>
      </c>
      <c r="P301" s="2">
        <f t="shared" si="108"/>
        <v>0</v>
      </c>
    </row>
    <row r="302" spans="3:16" s="9" customFormat="1" ht="14" thickTop="1" thickBot="1">
      <c r="D302" s="9" t="str">
        <f t="shared" ref="D302" si="109">D292</f>
        <v>Closing Balance</v>
      </c>
      <c r="E302" s="101" t="str">
        <f>Currency</f>
        <v>$'m</v>
      </c>
      <c r="K302" s="126">
        <f>K132</f>
        <v>349.1</v>
      </c>
      <c r="L302" s="9">
        <f>SUM(L300:L301)</f>
        <v>249.10000000000002</v>
      </c>
      <c r="M302" s="9">
        <f t="shared" ref="M302:P302" si="110">SUM(M300:M301)</f>
        <v>149.10000000000002</v>
      </c>
      <c r="N302" s="9">
        <f t="shared" si="110"/>
        <v>149.10000000000002</v>
      </c>
      <c r="O302" s="9">
        <f t="shared" si="110"/>
        <v>149.10000000000002</v>
      </c>
      <c r="P302" s="9">
        <f t="shared" si="110"/>
        <v>149.10000000000002</v>
      </c>
    </row>
    <row r="303" spans="3:16" ht="13.5" thickTop="1">
      <c r="E303" s="101"/>
    </row>
    <row r="304" spans="3:16">
      <c r="C304" s="9" t="str">
        <f>D133</f>
        <v>Retained Earnings</v>
      </c>
      <c r="E304" s="101"/>
    </row>
    <row r="305" spans="2:16">
      <c r="D305" s="2" t="str">
        <f>D300</f>
        <v>Opening Balance</v>
      </c>
      <c r="E305" s="101" t="str">
        <f>Currency</f>
        <v>$'m</v>
      </c>
      <c r="L305" s="2">
        <f>K308</f>
        <v>1254.6000000000008</v>
      </c>
      <c r="M305" s="2">
        <f t="shared" ref="M305:P305" ca="1" si="111">L308</f>
        <v>1647.3393885490973</v>
      </c>
      <c r="N305" s="2">
        <f t="shared" ca="1" si="111"/>
        <v>2054.4756983223424</v>
      </c>
      <c r="O305" s="2">
        <f t="shared" ca="1" si="111"/>
        <v>2476.7903035794657</v>
      </c>
      <c r="P305" s="2">
        <f t="shared" ca="1" si="111"/>
        <v>2915.7009767759268</v>
      </c>
    </row>
    <row r="306" spans="2:16">
      <c r="D306" s="2" t="str">
        <f>D44</f>
        <v>Net Income to Common</v>
      </c>
      <c r="E306" s="101" t="str">
        <f>Currency</f>
        <v>$'m</v>
      </c>
      <c r="L306" s="2">
        <f ca="1">L44</f>
        <v>604.21444392168678</v>
      </c>
      <c r="M306" s="2">
        <f ca="1">M44</f>
        <v>626.3635534973007</v>
      </c>
      <c r="N306" s="2">
        <f ca="1">N44</f>
        <v>649.71477731865116</v>
      </c>
      <c r="O306" s="2">
        <f ca="1">O44</f>
        <v>675.24718953301738</v>
      </c>
      <c r="P306" s="2">
        <f ca="1">P44</f>
        <v>668.59133552877734</v>
      </c>
    </row>
    <row r="307" spans="2:16" ht="13.5" thickBot="1">
      <c r="D307" s="2" t="s">
        <v>198</v>
      </c>
      <c r="E307" s="101" t="str">
        <f>Currency</f>
        <v>$'m</v>
      </c>
      <c r="L307" s="2">
        <f ca="1">$F$298*L306</f>
        <v>211.47505537259036</v>
      </c>
      <c r="M307" s="2">
        <f t="shared" ref="M307:P307" ca="1" si="112">$F$298*M306</f>
        <v>219.22724372405523</v>
      </c>
      <c r="N307" s="2">
        <f t="shared" ca="1" si="112"/>
        <v>227.40017206152788</v>
      </c>
      <c r="O307" s="2">
        <f t="shared" ca="1" si="112"/>
        <v>236.33651633655606</v>
      </c>
      <c r="P307" s="2">
        <f t="shared" ca="1" si="112"/>
        <v>234.00696743507206</v>
      </c>
    </row>
    <row r="308" spans="2:16" s="9" customFormat="1" ht="14" thickTop="1" thickBot="1">
      <c r="D308" s="9" t="str">
        <f t="shared" ref="D308" si="113">D302</f>
        <v>Closing Balance</v>
      </c>
      <c r="E308" s="101" t="str">
        <f>Currency</f>
        <v>$'m</v>
      </c>
      <c r="K308" s="126">
        <f>K133</f>
        <v>1254.6000000000008</v>
      </c>
      <c r="L308" s="9">
        <f ca="1">L305+L306-L307</f>
        <v>1647.3393885490973</v>
      </c>
      <c r="M308" s="9">
        <f t="shared" ref="M308:P308" ca="1" si="114">M305+M306-M307</f>
        <v>2054.4756983223424</v>
      </c>
      <c r="N308" s="9">
        <f t="shared" ca="1" si="114"/>
        <v>2476.7903035794657</v>
      </c>
      <c r="O308" s="9">
        <f t="shared" ca="1" si="114"/>
        <v>2915.7009767759268</v>
      </c>
      <c r="P308" s="9">
        <f t="shared" ca="1" si="114"/>
        <v>3350.2853448696319</v>
      </c>
    </row>
    <row r="309" spans="2:16" ht="13.5" thickTop="1">
      <c r="E309" s="101"/>
    </row>
    <row r="310" spans="2:16">
      <c r="E310" s="101"/>
    </row>
    <row r="311" spans="2:16" ht="20" thickBot="1">
      <c r="B311" s="97" t="s">
        <v>185</v>
      </c>
      <c r="C311" s="97"/>
      <c r="D311" s="97"/>
      <c r="E311" s="147"/>
      <c r="F311" s="97"/>
      <c r="G311" s="97"/>
      <c r="H311" s="97"/>
      <c r="I311" s="97"/>
      <c r="J311" s="97"/>
      <c r="K311" s="97"/>
      <c r="L311" s="97"/>
      <c r="M311" s="97"/>
      <c r="N311" s="97"/>
      <c r="O311" s="97"/>
      <c r="P311" s="97"/>
    </row>
    <row r="312" spans="2:16" ht="13.5" thickTop="1">
      <c r="E312" s="101"/>
    </row>
    <row r="313" spans="2:16" ht="13.5" thickBot="1">
      <c r="C313" s="9" t="str">
        <f>Assumptions!C113</f>
        <v>Fixed Rate Debt</v>
      </c>
      <c r="E313" s="101"/>
    </row>
    <row r="314" spans="2:16" ht="14" thickTop="1" thickBot="1">
      <c r="D314" s="2" t="str">
        <f>Assumptions!D114</f>
        <v>Fixed Rate Term Debt</v>
      </c>
      <c r="E314" s="101" t="str">
        <f>Assumptions!E114</f>
        <v>%</v>
      </c>
      <c r="F314" s="107">
        <f>Assumptions!F114</f>
        <v>7.0999999999999994E-2</v>
      </c>
    </row>
    <row r="315" spans="2:16" ht="14" thickTop="1" thickBot="1">
      <c r="D315" s="2" t="str">
        <f>Assumptions!D133</f>
        <v>Amortization on the fixed rate term debt</v>
      </c>
      <c r="E315" s="101" t="str">
        <f>Assumptions!E133</f>
        <v>$'m</v>
      </c>
      <c r="L315" s="100">
        <f>Assumptions!L133</f>
        <v>150</v>
      </c>
      <c r="M315" s="100">
        <f>Assumptions!M133</f>
        <v>150</v>
      </c>
      <c r="N315" s="100">
        <f>Assumptions!N133</f>
        <v>150</v>
      </c>
      <c r="O315" s="100">
        <f>Assumptions!O133</f>
        <v>150</v>
      </c>
      <c r="P315" s="100">
        <f>Assumptions!P133</f>
        <v>150</v>
      </c>
    </row>
    <row r="316" spans="2:16" ht="13.5" thickTop="1">
      <c r="E316" s="101"/>
    </row>
    <row r="317" spans="2:16">
      <c r="D317" s="2" t="str">
        <f>D300</f>
        <v>Opening Balance</v>
      </c>
      <c r="E317" s="101" t="str">
        <f>Currency</f>
        <v>$'m</v>
      </c>
      <c r="L317" s="2">
        <f>K319</f>
        <v>2440.6</v>
      </c>
      <c r="M317" s="2">
        <f t="shared" ref="M317:P317" si="115">L319</f>
        <v>2290.6</v>
      </c>
      <c r="N317" s="2">
        <f t="shared" si="115"/>
        <v>2140.6</v>
      </c>
      <c r="O317" s="2">
        <f t="shared" si="115"/>
        <v>1990.6</v>
      </c>
      <c r="P317" s="2">
        <f t="shared" si="115"/>
        <v>1840.6</v>
      </c>
    </row>
    <row r="318" spans="2:16" ht="13.5" thickBot="1">
      <c r="D318" s="2" t="str">
        <f>D315</f>
        <v>Amortization on the fixed rate term debt</v>
      </c>
      <c r="E318" s="101" t="str">
        <f>Currency</f>
        <v>$'m</v>
      </c>
      <c r="L318" s="2">
        <f>MIN(L315,L317)</f>
        <v>150</v>
      </c>
      <c r="M318" s="2">
        <f t="shared" ref="M318:P318" si="116">MIN(M315,M317)</f>
        <v>150</v>
      </c>
      <c r="N318" s="2">
        <f t="shared" si="116"/>
        <v>150</v>
      </c>
      <c r="O318" s="2">
        <f t="shared" si="116"/>
        <v>150</v>
      </c>
      <c r="P318" s="2">
        <f t="shared" si="116"/>
        <v>150</v>
      </c>
    </row>
    <row r="319" spans="2:16" s="9" customFormat="1" ht="14" thickTop="1" thickBot="1">
      <c r="D319" s="9" t="str">
        <f t="shared" ref="D319" si="117">D302</f>
        <v>Closing Balance</v>
      </c>
      <c r="E319" s="101" t="str">
        <f>Currency</f>
        <v>$'m</v>
      </c>
      <c r="K319" s="126">
        <f>K124</f>
        <v>2440.6</v>
      </c>
      <c r="L319" s="9">
        <f>L317-L318</f>
        <v>2290.6</v>
      </c>
      <c r="M319" s="9">
        <f t="shared" ref="M319:P319" si="118">M317-M318</f>
        <v>2140.6</v>
      </c>
      <c r="N319" s="9">
        <f t="shared" si="118"/>
        <v>1990.6</v>
      </c>
      <c r="O319" s="9">
        <f t="shared" si="118"/>
        <v>1840.6</v>
      </c>
      <c r="P319" s="9">
        <f t="shared" si="118"/>
        <v>1690.6</v>
      </c>
    </row>
    <row r="320" spans="2:16" ht="13.5" thickTop="1">
      <c r="E320" s="101"/>
    </row>
    <row r="321" spans="3:16">
      <c r="D321" s="2" t="s">
        <v>186</v>
      </c>
      <c r="E321" s="101"/>
      <c r="L321" s="2">
        <f>L319*$F$314</f>
        <v>162.63259999999997</v>
      </c>
      <c r="M321" s="2">
        <f>M319*$F$314</f>
        <v>151.98259999999999</v>
      </c>
      <c r="N321" s="2">
        <f>N319*$F$314</f>
        <v>141.33259999999999</v>
      </c>
      <c r="O321" s="2">
        <f>O319*$F$314</f>
        <v>130.68259999999998</v>
      </c>
      <c r="P321" s="2">
        <f>P319*$F$314</f>
        <v>120.03259999999999</v>
      </c>
    </row>
    <row r="322" spans="3:16">
      <c r="E322" s="101"/>
    </row>
    <row r="323" spans="3:16" ht="13.5" thickBot="1">
      <c r="C323" s="9" t="str">
        <f>Assumptions!C118</f>
        <v>Variable Rate Debt</v>
      </c>
      <c r="E323" s="101"/>
    </row>
    <row r="324" spans="3:16" ht="14" thickTop="1" thickBot="1">
      <c r="D324" s="2" t="str">
        <f>Assumptions!D120</f>
        <v>SOFR</v>
      </c>
      <c r="E324" s="101" t="str">
        <f>Assumptions!E120</f>
        <v>%</v>
      </c>
      <c r="F324" s="107">
        <f>Assumptions!F120</f>
        <v>5.2999999999999999E-2</v>
      </c>
    </row>
    <row r="325" spans="3:16" ht="13.5" thickTop="1">
      <c r="D325" s="2" t="str">
        <f>Assumptions!D119</f>
        <v>Variable Rate Term Debt</v>
      </c>
      <c r="E325" s="101" t="str">
        <f>Assumptions!E119</f>
        <v>%</v>
      </c>
      <c r="F325" s="39">
        <f>IF(K338&gt;=D335,E335,0)</f>
        <v>2.75E-2</v>
      </c>
    </row>
    <row r="326" spans="3:16" s="9" customFormat="1">
      <c r="D326" s="9" t="s">
        <v>188</v>
      </c>
      <c r="E326" s="101" t="s">
        <v>106</v>
      </c>
      <c r="F326" s="108">
        <f>SUM(F324:F325)</f>
        <v>8.0500000000000002E-2</v>
      </c>
    </row>
    <row r="327" spans="3:16" ht="13.5" thickBot="1">
      <c r="E327" s="101"/>
    </row>
    <row r="328" spans="3:16" ht="14" thickTop="1" thickBot="1">
      <c r="D328" s="2" t="str">
        <f>Assumptions!D134</f>
        <v>Amortization on the variable rate term debt</v>
      </c>
      <c r="E328" s="101" t="str">
        <f>Assumptions!E134</f>
        <v>$'m</v>
      </c>
      <c r="L328" s="100">
        <f>Assumptions!L134</f>
        <v>75</v>
      </c>
      <c r="M328" s="100">
        <f>Assumptions!M134</f>
        <v>75</v>
      </c>
      <c r="N328" s="100">
        <f>Assumptions!N134</f>
        <v>75</v>
      </c>
      <c r="O328" s="100">
        <f>Assumptions!O134</f>
        <v>75</v>
      </c>
      <c r="P328" s="100">
        <f>Assumptions!P134</f>
        <v>75</v>
      </c>
    </row>
    <row r="329" spans="3:16" ht="13.5" thickTop="1">
      <c r="E329" s="101"/>
    </row>
    <row r="330" spans="3:16">
      <c r="D330" s="9" t="str">
        <f>Assumptions!D123</f>
        <v>Total Debt/EBITDA</v>
      </c>
      <c r="E330" s="101" t="str">
        <f>Assumptions!E123</f>
        <v>Spread to SOFR</v>
      </c>
    </row>
    <row r="331" spans="3:16">
      <c r="D331" s="115">
        <f>Assumptions!D124</f>
        <v>0</v>
      </c>
      <c r="E331" s="165">
        <f>Assumptions!E124</f>
        <v>0.01</v>
      </c>
    </row>
    <row r="332" spans="3:16">
      <c r="D332" s="115">
        <f>Assumptions!D125</f>
        <v>1</v>
      </c>
      <c r="E332" s="165">
        <f>Assumptions!E125</f>
        <v>1.4999999999999999E-2</v>
      </c>
    </row>
    <row r="333" spans="3:16">
      <c r="D333" s="115">
        <f>Assumptions!D126</f>
        <v>2</v>
      </c>
      <c r="E333" s="165">
        <f>Assumptions!E126</f>
        <v>0.02</v>
      </c>
    </row>
    <row r="334" spans="3:16">
      <c r="D334" s="115">
        <f>Assumptions!D127</f>
        <v>3</v>
      </c>
      <c r="E334" s="165">
        <f>Assumptions!E127</f>
        <v>2.5000000000000001E-2</v>
      </c>
    </row>
    <row r="335" spans="3:16">
      <c r="D335" s="115">
        <f>Assumptions!D128</f>
        <v>4</v>
      </c>
      <c r="E335" s="165">
        <f>Assumptions!E128</f>
        <v>2.75E-2</v>
      </c>
    </row>
    <row r="336" spans="3:16">
      <c r="D336" s="115">
        <f>Assumptions!D129</f>
        <v>4.5</v>
      </c>
      <c r="E336" s="165">
        <f>Assumptions!E129</f>
        <v>0.03</v>
      </c>
    </row>
    <row r="337" spans="3:16">
      <c r="E337" s="101"/>
    </row>
    <row r="338" spans="3:16">
      <c r="D338" s="9" t="s">
        <v>144</v>
      </c>
      <c r="E338" s="101" t="s">
        <v>187</v>
      </c>
      <c r="K338" s="99">
        <f>(K118+K123+K124)/K28</f>
        <v>4.239958937508014</v>
      </c>
      <c r="L338" s="99"/>
      <c r="M338" s="99"/>
      <c r="N338" s="99"/>
      <c r="O338" s="99"/>
      <c r="P338" s="99"/>
    </row>
    <row r="339" spans="3:16">
      <c r="E339" s="101"/>
    </row>
    <row r="340" spans="3:16">
      <c r="D340" s="2" t="str">
        <f>D317</f>
        <v>Opening Balance</v>
      </c>
      <c r="E340" s="101" t="str">
        <f>Currency</f>
        <v>$'m</v>
      </c>
      <c r="L340" s="2">
        <f>K342</f>
        <v>863.6</v>
      </c>
      <c r="M340" s="2">
        <f t="shared" ref="M340:P340" si="119">L342</f>
        <v>788.6</v>
      </c>
      <c r="N340" s="2">
        <f t="shared" si="119"/>
        <v>713.6</v>
      </c>
      <c r="O340" s="2">
        <f t="shared" si="119"/>
        <v>638.6</v>
      </c>
      <c r="P340" s="2">
        <f t="shared" si="119"/>
        <v>563.6</v>
      </c>
    </row>
    <row r="341" spans="3:16" ht="13.5" thickBot="1">
      <c r="D341" s="2" t="str">
        <f>D328</f>
        <v>Amortization on the variable rate term debt</v>
      </c>
      <c r="E341" s="101" t="str">
        <f>Currency</f>
        <v>$'m</v>
      </c>
      <c r="L341" s="2">
        <f>MIN(L328,L340)</f>
        <v>75</v>
      </c>
      <c r="M341" s="2">
        <f t="shared" ref="M341:P341" si="120">MIN(M328,M340)</f>
        <v>75</v>
      </c>
      <c r="N341" s="2">
        <f t="shared" si="120"/>
        <v>75</v>
      </c>
      <c r="O341" s="2">
        <f t="shared" si="120"/>
        <v>75</v>
      </c>
      <c r="P341" s="2">
        <f t="shared" si="120"/>
        <v>75</v>
      </c>
    </row>
    <row r="342" spans="3:16" s="9" customFormat="1" ht="14" thickTop="1" thickBot="1">
      <c r="D342" s="9" t="str">
        <f t="shared" ref="D342" si="121">D319</f>
        <v>Closing Balance</v>
      </c>
      <c r="E342" s="101" t="str">
        <f>Currency</f>
        <v>$'m</v>
      </c>
      <c r="K342" s="126">
        <f>K123</f>
        <v>863.6</v>
      </c>
      <c r="L342" s="9">
        <f>L340-L341</f>
        <v>788.6</v>
      </c>
      <c r="M342" s="9">
        <f t="shared" ref="M342:P342" si="122">M340-M341</f>
        <v>713.6</v>
      </c>
      <c r="N342" s="9">
        <f t="shared" si="122"/>
        <v>638.6</v>
      </c>
      <c r="O342" s="9">
        <f t="shared" si="122"/>
        <v>563.6</v>
      </c>
      <c r="P342" s="9">
        <f t="shared" si="122"/>
        <v>488.6</v>
      </c>
    </row>
    <row r="343" spans="3:16" ht="13.5" thickTop="1">
      <c r="E343" s="101"/>
    </row>
    <row r="344" spans="3:16">
      <c r="D344" s="2" t="s">
        <v>189</v>
      </c>
      <c r="E344" s="101" t="str">
        <f>Currency</f>
        <v>$'m</v>
      </c>
      <c r="L344" s="2">
        <f>$F$326*L342</f>
        <v>63.482300000000002</v>
      </c>
      <c r="M344" s="2">
        <f t="shared" ref="M344:P344" si="123">$F$326*M342</f>
        <v>57.444800000000001</v>
      </c>
      <c r="N344" s="2">
        <f t="shared" si="123"/>
        <v>51.407300000000006</v>
      </c>
      <c r="O344" s="2">
        <f t="shared" si="123"/>
        <v>45.369800000000005</v>
      </c>
      <c r="P344" s="2">
        <f t="shared" si="123"/>
        <v>39.332300000000004</v>
      </c>
    </row>
    <row r="345" spans="3:16">
      <c r="E345" s="101"/>
    </row>
    <row r="346" spans="3:16" ht="13.5" thickBot="1">
      <c r="C346" s="9" t="str">
        <f>Assumptions!D131</f>
        <v>Excess cash</v>
      </c>
      <c r="E346" s="101"/>
    </row>
    <row r="347" spans="3:16" ht="14" thickTop="1" thickBot="1">
      <c r="D347" s="2" t="s">
        <v>190</v>
      </c>
      <c r="E347" s="101" t="str">
        <f>Assumptions!E131</f>
        <v>%</v>
      </c>
      <c r="F347" s="116">
        <f>Assumptions!F131</f>
        <v>3.5000000000000003E-2</v>
      </c>
    </row>
    <row r="348" spans="3:16" ht="13.5" thickTop="1">
      <c r="E348" s="101"/>
    </row>
    <row r="349" spans="3:16">
      <c r="D349" s="2" t="str">
        <f>D340</f>
        <v>Opening Balance</v>
      </c>
      <c r="E349" s="101" t="str">
        <f>Currency</f>
        <v>$'m</v>
      </c>
      <c r="L349" s="2">
        <f>K351</f>
        <v>409.6</v>
      </c>
      <c r="M349" s="2">
        <f t="shared" ref="M349:P349" ca="1" si="124">L351</f>
        <v>223.22668135359197</v>
      </c>
      <c r="N349" s="2">
        <f t="shared" ca="1" si="124"/>
        <v>118.79567441523591</v>
      </c>
      <c r="O349" s="2">
        <f t="shared" ca="1" si="124"/>
        <v>93.717573516353923</v>
      </c>
      <c r="P349" s="2">
        <f t="shared" ca="1" si="124"/>
        <v>94.593150205729103</v>
      </c>
    </row>
    <row r="350" spans="3:16" ht="13.5" thickBot="1">
      <c r="D350" s="2" t="str">
        <f>D90</f>
        <v>Change in Cash Position</v>
      </c>
      <c r="E350" s="101" t="str">
        <f>Currency</f>
        <v>$'m</v>
      </c>
      <c r="L350" s="2">
        <f ca="1">L90</f>
        <v>-186.37331864640805</v>
      </c>
      <c r="M350" s="2">
        <f ca="1">M90</f>
        <v>-104.43100693835606</v>
      </c>
      <c r="N350" s="2">
        <f ca="1">N90</f>
        <v>-25.078100898881985</v>
      </c>
      <c r="O350" s="2">
        <f ca="1">O90</f>
        <v>0.87557668937517974</v>
      </c>
      <c r="P350" s="2">
        <f ca="1">P90</f>
        <v>30.956268192072002</v>
      </c>
    </row>
    <row r="351" spans="3:16" s="9" customFormat="1" ht="14" thickTop="1" thickBot="1">
      <c r="D351" s="9" t="str">
        <f t="shared" ref="D351" si="125">D342</f>
        <v>Closing Balance</v>
      </c>
      <c r="E351" s="101" t="str">
        <f>Currency</f>
        <v>$'m</v>
      </c>
      <c r="K351" s="126">
        <f>K102</f>
        <v>409.6</v>
      </c>
      <c r="L351" s="9">
        <f ca="1">SUM(L349:L350)</f>
        <v>223.22668135359197</v>
      </c>
      <c r="M351" s="9">
        <f t="shared" ref="M351:P351" ca="1" si="126">SUM(M349:M350)</f>
        <v>118.79567441523591</v>
      </c>
      <c r="N351" s="9">
        <f t="shared" ca="1" si="126"/>
        <v>93.717573516353923</v>
      </c>
      <c r="O351" s="9">
        <f t="shared" ca="1" si="126"/>
        <v>94.593150205729103</v>
      </c>
      <c r="P351" s="9">
        <f t="shared" ca="1" si="126"/>
        <v>125.54941839780111</v>
      </c>
    </row>
    <row r="352" spans="3:16" ht="13.5" thickTop="1">
      <c r="E352" s="101"/>
    </row>
    <row r="353" spans="3:16">
      <c r="D353" s="2" t="s">
        <v>191</v>
      </c>
      <c r="E353" s="101" t="str">
        <f>Currency</f>
        <v>$'m</v>
      </c>
      <c r="L353" s="2">
        <f ca="1">L351*$F$347</f>
        <v>7.8129338473757199</v>
      </c>
      <c r="M353" s="2">
        <f t="shared" ref="M353:P353" ca="1" si="127">M351*$F$347</f>
        <v>4.1578486045332568</v>
      </c>
      <c r="N353" s="2">
        <f t="shared" ca="1" si="127"/>
        <v>3.2801150730723876</v>
      </c>
      <c r="O353" s="2">
        <f t="shared" ca="1" si="127"/>
        <v>3.3107602572005188</v>
      </c>
      <c r="P353" s="2">
        <f t="shared" ca="1" si="127"/>
        <v>4.3942296439230395</v>
      </c>
    </row>
    <row r="354" spans="3:16">
      <c r="E354" s="101"/>
    </row>
    <row r="355" spans="3:16" ht="13.5" thickBot="1">
      <c r="C355" s="9" t="str">
        <f>Assumptions!D116</f>
        <v>Revolver</v>
      </c>
      <c r="E355" s="101"/>
    </row>
    <row r="356" spans="3:16" ht="14" thickTop="1" thickBot="1">
      <c r="C356" s="9"/>
      <c r="D356" s="2" t="str">
        <f>Assumptions!D116</f>
        <v>Revolver</v>
      </c>
      <c r="E356" s="101" t="str">
        <f>Assumptions!E116</f>
        <v>%</v>
      </c>
      <c r="F356" s="116">
        <f>Assumptions!F116</f>
        <v>7.4999999999999997E-2</v>
      </c>
    </row>
    <row r="357" spans="3:16" ht="13.5" thickTop="1">
      <c r="C357" s="9"/>
      <c r="E357" s="101"/>
    </row>
    <row r="358" spans="3:16">
      <c r="D358" s="2" t="str">
        <f>D349</f>
        <v>Opening Balance</v>
      </c>
      <c r="E358" s="101" t="str">
        <f>Currency</f>
        <v>$'m</v>
      </c>
      <c r="L358" s="2">
        <f>K360</f>
        <v>0</v>
      </c>
      <c r="M358" s="2">
        <f t="shared" ref="M358:P358" ca="1" si="128">L360</f>
        <v>0</v>
      </c>
      <c r="N358" s="2">
        <f t="shared" ca="1" si="128"/>
        <v>0</v>
      </c>
      <c r="O358" s="2">
        <f t="shared" ca="1" si="128"/>
        <v>0</v>
      </c>
      <c r="P358" s="2">
        <f t="shared" ca="1" si="128"/>
        <v>0</v>
      </c>
    </row>
    <row r="359" spans="3:16" ht="13.5" thickBot="1">
      <c r="D359" s="2" t="s">
        <v>192</v>
      </c>
      <c r="E359" s="101" t="str">
        <f>Currency</f>
        <v>$'m</v>
      </c>
      <c r="L359" s="2">
        <f ca="1">-MIN(L358,L374+L349)</f>
        <v>0</v>
      </c>
      <c r="M359" s="2">
        <f t="shared" ref="M359:P359" ca="1" si="129">-MIN(M358,M374+M349)</f>
        <v>0</v>
      </c>
      <c r="N359" s="2">
        <f t="shared" ca="1" si="129"/>
        <v>0</v>
      </c>
      <c r="O359" s="2">
        <f t="shared" ca="1" si="129"/>
        <v>0</v>
      </c>
      <c r="P359" s="2">
        <f t="shared" ca="1" si="129"/>
        <v>0</v>
      </c>
    </row>
    <row r="360" spans="3:16" s="9" customFormat="1" ht="14" thickTop="1" thickBot="1">
      <c r="D360" s="9" t="str">
        <f>D351</f>
        <v>Closing Balance</v>
      </c>
      <c r="E360" s="101" t="str">
        <f>Currency</f>
        <v>$'m</v>
      </c>
      <c r="K360" s="126">
        <f>K118</f>
        <v>0</v>
      </c>
      <c r="L360" s="9">
        <f ca="1">SUM(L358:L359)</f>
        <v>0</v>
      </c>
      <c r="M360" s="9">
        <f t="shared" ref="M360:P360" ca="1" si="130">SUM(M358:M359)</f>
        <v>0</v>
      </c>
      <c r="N360" s="9">
        <f t="shared" ca="1" si="130"/>
        <v>0</v>
      </c>
      <c r="O360" s="9">
        <f t="shared" ca="1" si="130"/>
        <v>0</v>
      </c>
      <c r="P360" s="9">
        <f t="shared" ca="1" si="130"/>
        <v>0</v>
      </c>
    </row>
    <row r="361" spans="3:16" ht="13.5" thickTop="1">
      <c r="E361" s="101"/>
    </row>
    <row r="362" spans="3:16" s="9" customFormat="1">
      <c r="D362" s="9" t="s">
        <v>196</v>
      </c>
      <c r="E362" s="101" t="str">
        <f>Currency</f>
        <v>$'m</v>
      </c>
      <c r="L362" s="9">
        <f ca="1">L360*$F$356</f>
        <v>0</v>
      </c>
      <c r="M362" s="9">
        <f t="shared" ref="M362:P362" ca="1" si="131">M360*$F$356</f>
        <v>0</v>
      </c>
      <c r="N362" s="9">
        <f t="shared" ca="1" si="131"/>
        <v>0</v>
      </c>
      <c r="O362" s="9">
        <f t="shared" ca="1" si="131"/>
        <v>0</v>
      </c>
      <c r="P362" s="9">
        <f t="shared" ca="1" si="131"/>
        <v>0</v>
      </c>
    </row>
    <row r="363" spans="3:16">
      <c r="E363" s="101"/>
    </row>
    <row r="364" spans="3:16">
      <c r="C364" s="9" t="s">
        <v>193</v>
      </c>
      <c r="E364" s="101"/>
    </row>
    <row r="365" spans="3:16">
      <c r="D365" s="2" t="str">
        <f>D69</f>
        <v>Operating Cash Flow</v>
      </c>
      <c r="E365" s="101" t="str">
        <f t="shared" ref="E365:E374" si="132">Currency</f>
        <v>$'m</v>
      </c>
      <c r="L365" s="2">
        <f ca="1">L69</f>
        <v>575.10173672618225</v>
      </c>
      <c r="M365" s="2">
        <f ca="1">M69</f>
        <v>617.10873678569919</v>
      </c>
      <c r="N365" s="2">
        <f ca="1">N69</f>
        <v>656.9470711626459</v>
      </c>
      <c r="O365" s="2">
        <f ca="1">O69</f>
        <v>691.83709302593127</v>
      </c>
      <c r="P365" s="2">
        <f ca="1">P69</f>
        <v>719.58823562714406</v>
      </c>
    </row>
    <row r="366" spans="3:16">
      <c r="D366" s="2" t="str">
        <f>D76</f>
        <v>Investing Cash Flow</v>
      </c>
      <c r="E366" s="101" t="str">
        <f t="shared" si="132"/>
        <v>$'m</v>
      </c>
      <c r="L366" s="2">
        <f>L76</f>
        <v>-225</v>
      </c>
      <c r="M366" s="2">
        <f>M76</f>
        <v>-225</v>
      </c>
      <c r="N366" s="2">
        <f>N76</f>
        <v>-225</v>
      </c>
      <c r="O366" s="2">
        <f>O76</f>
        <v>-225</v>
      </c>
      <c r="P366" s="2">
        <f>P76</f>
        <v>-225</v>
      </c>
    </row>
    <row r="367" spans="3:16">
      <c r="D367" s="2" t="str">
        <f t="shared" ref="D367:D373" si="133">D81</f>
        <v>Variable Rate Long Term Debt Issuance / (Repayment)</v>
      </c>
      <c r="E367" s="101" t="str">
        <f t="shared" si="132"/>
        <v>$'m</v>
      </c>
      <c r="L367" s="2">
        <f t="shared" ref="L367:P373" si="134">L81</f>
        <v>-75</v>
      </c>
      <c r="M367" s="2">
        <f t="shared" si="134"/>
        <v>-75</v>
      </c>
      <c r="N367" s="2">
        <f t="shared" si="134"/>
        <v>-75</v>
      </c>
      <c r="O367" s="2">
        <f t="shared" si="134"/>
        <v>-75</v>
      </c>
      <c r="P367" s="2">
        <f t="shared" si="134"/>
        <v>-75</v>
      </c>
    </row>
    <row r="368" spans="3:16">
      <c r="D368" s="2" t="str">
        <f t="shared" si="133"/>
        <v>Fixed Rate Long Term Debt Issuance / (Repayment)</v>
      </c>
      <c r="E368" s="101" t="str">
        <f t="shared" si="132"/>
        <v>$'m</v>
      </c>
      <c r="L368" s="2">
        <f t="shared" si="134"/>
        <v>-150</v>
      </c>
      <c r="M368" s="2">
        <f t="shared" si="134"/>
        <v>-150</v>
      </c>
      <c r="N368" s="2">
        <f t="shared" si="134"/>
        <v>-150</v>
      </c>
      <c r="O368" s="2">
        <f t="shared" si="134"/>
        <v>-150</v>
      </c>
      <c r="P368" s="2">
        <f t="shared" si="134"/>
        <v>-150</v>
      </c>
    </row>
    <row r="369" spans="3:16">
      <c r="D369" s="2" t="str">
        <f t="shared" si="133"/>
        <v>Issuance of Preferred Shares</v>
      </c>
      <c r="E369" s="101" t="str">
        <f t="shared" si="132"/>
        <v>$'m</v>
      </c>
      <c r="L369" s="2">
        <f t="shared" si="134"/>
        <v>0</v>
      </c>
      <c r="M369" s="2">
        <f t="shared" si="134"/>
        <v>50</v>
      </c>
      <c r="N369" s="2">
        <f t="shared" si="134"/>
        <v>0</v>
      </c>
      <c r="O369" s="2">
        <f t="shared" si="134"/>
        <v>0</v>
      </c>
      <c r="P369" s="2">
        <f t="shared" si="134"/>
        <v>0</v>
      </c>
    </row>
    <row r="370" spans="3:16">
      <c r="D370" s="2" t="str">
        <f t="shared" si="133"/>
        <v>Common Share Issuance / (Buy-Back)</v>
      </c>
      <c r="E370" s="101" t="str">
        <f t="shared" si="132"/>
        <v>$'m</v>
      </c>
      <c r="L370" s="2">
        <f t="shared" si="134"/>
        <v>-100</v>
      </c>
      <c r="M370" s="2">
        <f t="shared" si="134"/>
        <v>-100</v>
      </c>
      <c r="N370" s="2">
        <f t="shared" si="134"/>
        <v>0</v>
      </c>
      <c r="O370" s="2">
        <f t="shared" si="134"/>
        <v>0</v>
      </c>
      <c r="P370" s="2">
        <f t="shared" si="134"/>
        <v>0</v>
      </c>
    </row>
    <row r="371" spans="3:16">
      <c r="D371" s="2" t="str">
        <f t="shared" si="133"/>
        <v>Preferred Shares Dividend</v>
      </c>
      <c r="E371" s="101" t="str">
        <f t="shared" si="132"/>
        <v>$'m</v>
      </c>
      <c r="L371" s="2">
        <f t="shared" si="134"/>
        <v>0</v>
      </c>
      <c r="M371" s="2">
        <f t="shared" si="134"/>
        <v>-2.3125</v>
      </c>
      <c r="N371" s="2">
        <f t="shared" si="134"/>
        <v>-4.625</v>
      </c>
      <c r="O371" s="2">
        <f t="shared" si="134"/>
        <v>-4.625</v>
      </c>
      <c r="P371" s="2">
        <f t="shared" si="134"/>
        <v>-4.625</v>
      </c>
    </row>
    <row r="372" spans="3:16">
      <c r="D372" s="2" t="str">
        <f t="shared" si="133"/>
        <v>Common Share Dividends</v>
      </c>
      <c r="E372" s="101" t="str">
        <f t="shared" si="132"/>
        <v>$'m</v>
      </c>
      <c r="L372" s="2">
        <f t="shared" ca="1" si="134"/>
        <v>-211.47505537259036</v>
      </c>
      <c r="M372" s="2">
        <f t="shared" ca="1" si="134"/>
        <v>-219.22724372405523</v>
      </c>
      <c r="N372" s="2">
        <f t="shared" ca="1" si="134"/>
        <v>-227.40017206152788</v>
      </c>
      <c r="O372" s="2">
        <f t="shared" ca="1" si="134"/>
        <v>-236.33651633655606</v>
      </c>
      <c r="P372" s="2">
        <f t="shared" ca="1" si="134"/>
        <v>-234.00696743507206</v>
      </c>
    </row>
    <row r="373" spans="3:16">
      <c r="D373" s="2" t="str">
        <f t="shared" si="133"/>
        <v>Other</v>
      </c>
      <c r="E373" s="101" t="str">
        <f t="shared" si="132"/>
        <v>$'m</v>
      </c>
      <c r="L373" s="2">
        <f t="shared" si="134"/>
        <v>0</v>
      </c>
      <c r="M373" s="2">
        <f t="shared" si="134"/>
        <v>0</v>
      </c>
      <c r="N373" s="2">
        <f t="shared" si="134"/>
        <v>0</v>
      </c>
      <c r="O373" s="2">
        <f t="shared" si="134"/>
        <v>0</v>
      </c>
      <c r="P373" s="2">
        <f t="shared" si="134"/>
        <v>0</v>
      </c>
    </row>
    <row r="374" spans="3:16" s="9" customFormat="1">
      <c r="D374" s="9" t="s">
        <v>194</v>
      </c>
      <c r="E374" s="101" t="str">
        <f t="shared" si="132"/>
        <v>$'m</v>
      </c>
      <c r="L374" s="9">
        <f ca="1">SUM(L365:L373)</f>
        <v>-186.37331864640811</v>
      </c>
      <c r="M374" s="9">
        <f t="shared" ref="M374:P374" ca="1" si="135">SUM(M365:M373)</f>
        <v>-104.43100693835603</v>
      </c>
      <c r="N374" s="9">
        <f t="shared" ca="1" si="135"/>
        <v>-25.078100898881985</v>
      </c>
      <c r="O374" s="9">
        <f t="shared" ca="1" si="135"/>
        <v>0.87557668937520816</v>
      </c>
      <c r="P374" s="9">
        <f t="shared" ca="1" si="135"/>
        <v>30.956268192072002</v>
      </c>
    </row>
    <row r="375" spans="3:16">
      <c r="E375" s="101"/>
    </row>
    <row r="376" spans="3:16">
      <c r="C376" s="9" t="s">
        <v>195</v>
      </c>
      <c r="E376" s="101"/>
    </row>
    <row r="377" spans="3:16">
      <c r="D377" s="2" t="str">
        <f>D321</f>
        <v>Interest Expense on Fixed Rate Term debt</v>
      </c>
      <c r="E377" s="101" t="str">
        <f>Currency</f>
        <v>$'m</v>
      </c>
      <c r="L377" s="2">
        <f t="shared" ref="L377:P377" si="136">L321</f>
        <v>162.63259999999997</v>
      </c>
      <c r="M377" s="2">
        <f t="shared" si="136"/>
        <v>151.98259999999999</v>
      </c>
      <c r="N377" s="2">
        <f t="shared" si="136"/>
        <v>141.33259999999999</v>
      </c>
      <c r="O377" s="2">
        <f t="shared" si="136"/>
        <v>130.68259999999998</v>
      </c>
      <c r="P377" s="2">
        <f t="shared" si="136"/>
        <v>120.03259999999999</v>
      </c>
    </row>
    <row r="378" spans="3:16">
      <c r="D378" s="2" t="str">
        <f>D344</f>
        <v>Interest Expense on Variable Rate Term debt</v>
      </c>
      <c r="E378" s="101" t="str">
        <f>Currency</f>
        <v>$'m</v>
      </c>
      <c r="L378" s="2">
        <f t="shared" ref="L378:P378" si="137">L344</f>
        <v>63.482300000000002</v>
      </c>
      <c r="M378" s="2">
        <f t="shared" si="137"/>
        <v>57.444800000000001</v>
      </c>
      <c r="N378" s="2">
        <f t="shared" si="137"/>
        <v>51.407300000000006</v>
      </c>
      <c r="O378" s="2">
        <f t="shared" si="137"/>
        <v>45.369800000000005</v>
      </c>
      <c r="P378" s="2">
        <f t="shared" si="137"/>
        <v>39.332300000000004</v>
      </c>
    </row>
    <row r="379" spans="3:16">
      <c r="D379" s="2" t="str">
        <f>D362</f>
        <v>Interest Expense on Revolver</v>
      </c>
      <c r="E379" s="101" t="str">
        <f>Currency</f>
        <v>$'m</v>
      </c>
      <c r="L379" s="2">
        <f t="shared" ref="L379:P379" ca="1" si="138">L362</f>
        <v>0</v>
      </c>
      <c r="M379" s="2">
        <f t="shared" ca="1" si="138"/>
        <v>0</v>
      </c>
      <c r="N379" s="2">
        <f t="shared" ca="1" si="138"/>
        <v>0</v>
      </c>
      <c r="O379" s="2">
        <f t="shared" ca="1" si="138"/>
        <v>0</v>
      </c>
      <c r="P379" s="2">
        <f t="shared" ca="1" si="138"/>
        <v>0</v>
      </c>
    </row>
    <row r="380" spans="3:16">
      <c r="D380" s="2" t="str">
        <f>D353</f>
        <v>Interest Income on Excess Cash</v>
      </c>
      <c r="E380" s="101" t="str">
        <f>Currency</f>
        <v>$'m</v>
      </c>
      <c r="L380" s="2">
        <f t="shared" ref="L380:P380" ca="1" si="139">L353</f>
        <v>7.8129338473757199</v>
      </c>
      <c r="M380" s="2">
        <f t="shared" ca="1" si="139"/>
        <v>4.1578486045332568</v>
      </c>
      <c r="N380" s="2">
        <f t="shared" ca="1" si="139"/>
        <v>3.2801150730723876</v>
      </c>
      <c r="O380" s="2">
        <f t="shared" ca="1" si="139"/>
        <v>3.3107602572005188</v>
      </c>
      <c r="P380" s="2">
        <f t="shared" ca="1" si="139"/>
        <v>4.3942296439230395</v>
      </c>
    </row>
    <row r="381" spans="3:16" s="9" customFormat="1">
      <c r="D381" s="9" t="str">
        <f>C376</f>
        <v>Net Interest</v>
      </c>
      <c r="E381" s="101" t="str">
        <f>Currency</f>
        <v>$'m</v>
      </c>
      <c r="L381" s="9">
        <f ca="1">SUM(L377:L379)-L380</f>
        <v>218.30196615262426</v>
      </c>
      <c r="M381" s="9">
        <f t="shared" ref="M381:P381" ca="1" si="140">SUM(M377:M379)-M380</f>
        <v>205.26955139546672</v>
      </c>
      <c r="N381" s="9">
        <f t="shared" ca="1" si="140"/>
        <v>189.4597849269276</v>
      </c>
      <c r="O381" s="9">
        <f t="shared" ca="1" si="140"/>
        <v>172.74163974279946</v>
      </c>
      <c r="P381" s="9">
        <f t="shared" ca="1" si="140"/>
        <v>154.97067035607694</v>
      </c>
    </row>
    <row r="382" spans="3:16">
      <c r="E382" s="101"/>
    </row>
    <row r="383" spans="3:16">
      <c r="E383" s="101"/>
    </row>
    <row r="384" spans="3:16">
      <c r="E384" s="101"/>
    </row>
    <row r="385" spans="5:5">
      <c r="E385" s="101"/>
    </row>
    <row r="386" spans="5:5">
      <c r="E386" s="101"/>
    </row>
    <row r="387" spans="5:5">
      <c r="E387" s="101"/>
    </row>
    <row r="388" spans="5:5">
      <c r="E388" s="101"/>
    </row>
    <row r="389" spans="5:5">
      <c r="E389" s="101"/>
    </row>
    <row r="390" spans="5:5">
      <c r="E390" s="101"/>
    </row>
    <row r="391" spans="5:5">
      <c r="E391" s="101"/>
    </row>
    <row r="392" spans="5:5">
      <c r="E392" s="101"/>
    </row>
    <row r="393" spans="5:5">
      <c r="E393" s="101"/>
    </row>
    <row r="394" spans="5:5">
      <c r="E394" s="101"/>
    </row>
    <row r="395" spans="5:5">
      <c r="E395" s="101"/>
    </row>
    <row r="396" spans="5:5">
      <c r="E396" s="101"/>
    </row>
    <row r="397" spans="5:5">
      <c r="E397" s="101"/>
    </row>
    <row r="398" spans="5:5">
      <c r="E398" s="101"/>
    </row>
    <row r="399" spans="5:5">
      <c r="E399" s="101"/>
    </row>
    <row r="400" spans="5:5">
      <c r="E400" s="101"/>
    </row>
    <row r="401" spans="5:5">
      <c r="E401" s="101"/>
    </row>
    <row r="402" spans="5:5">
      <c r="E402" s="101"/>
    </row>
    <row r="403" spans="5:5">
      <c r="E403" s="101"/>
    </row>
    <row r="404" spans="5:5">
      <c r="E404" s="101"/>
    </row>
    <row r="405" spans="5:5">
      <c r="E405" s="101"/>
    </row>
    <row r="406" spans="5:5">
      <c r="E406" s="101"/>
    </row>
    <row r="407" spans="5:5">
      <c r="E407" s="101"/>
    </row>
    <row r="408" spans="5:5">
      <c r="E408" s="101"/>
    </row>
    <row r="409" spans="5:5">
      <c r="E409" s="101"/>
    </row>
    <row r="410" spans="5:5">
      <c r="E410" s="101"/>
    </row>
    <row r="411" spans="5:5">
      <c r="E411" s="101"/>
    </row>
    <row r="412" spans="5:5">
      <c r="E412" s="101"/>
    </row>
    <row r="413" spans="5:5">
      <c r="E413" s="101"/>
    </row>
    <row r="414" spans="5:5">
      <c r="E414" s="101"/>
    </row>
    <row r="415" spans="5:5">
      <c r="E415" s="101"/>
    </row>
    <row r="416" spans="5:5">
      <c r="E416" s="101"/>
    </row>
    <row r="417" spans="5:5">
      <c r="E417" s="101"/>
    </row>
    <row r="418" spans="5:5">
      <c r="E418" s="101"/>
    </row>
    <row r="419" spans="5:5">
      <c r="E419" s="101"/>
    </row>
    <row r="420" spans="5:5">
      <c r="E420" s="101"/>
    </row>
    <row r="421" spans="5:5">
      <c r="E421" s="101"/>
    </row>
    <row r="422" spans="5:5">
      <c r="E422" s="101"/>
    </row>
    <row r="423" spans="5:5">
      <c r="E423" s="101"/>
    </row>
    <row r="424" spans="5:5">
      <c r="E424" s="101"/>
    </row>
    <row r="425" spans="5:5">
      <c r="E425" s="101"/>
    </row>
    <row r="426" spans="5:5">
      <c r="E426" s="101"/>
    </row>
    <row r="427" spans="5:5">
      <c r="E427" s="101"/>
    </row>
    <row r="428" spans="5:5">
      <c r="E428" s="101"/>
    </row>
    <row r="429" spans="5:5">
      <c r="E429" s="101"/>
    </row>
    <row r="430" spans="5:5">
      <c r="E430" s="101"/>
    </row>
    <row r="431" spans="5:5">
      <c r="E431" s="101"/>
    </row>
    <row r="432" spans="5:5">
      <c r="E432" s="101"/>
    </row>
    <row r="433" spans="5:5">
      <c r="E433" s="101"/>
    </row>
    <row r="434" spans="5:5">
      <c r="E434" s="101"/>
    </row>
    <row r="435" spans="5:5">
      <c r="E435" s="101"/>
    </row>
    <row r="436" spans="5:5">
      <c r="E436" s="101"/>
    </row>
    <row r="437" spans="5:5">
      <c r="E437" s="101"/>
    </row>
    <row r="438" spans="5:5">
      <c r="E438" s="101"/>
    </row>
    <row r="439" spans="5:5">
      <c r="E439" s="101"/>
    </row>
    <row r="440" spans="5:5">
      <c r="E440" s="101"/>
    </row>
    <row r="441" spans="5:5">
      <c r="E441" s="101"/>
    </row>
    <row r="442" spans="5:5">
      <c r="E442" s="101"/>
    </row>
    <row r="443" spans="5:5">
      <c r="E443" s="101"/>
    </row>
    <row r="444" spans="5:5">
      <c r="E444" s="101"/>
    </row>
    <row r="445" spans="5:5">
      <c r="E445" s="101"/>
    </row>
    <row r="446" spans="5:5">
      <c r="E446" s="101"/>
    </row>
    <row r="447" spans="5:5">
      <c r="E447" s="101"/>
    </row>
    <row r="448" spans="5:5">
      <c r="E448" s="101"/>
    </row>
    <row r="449" spans="5:5">
      <c r="E449" s="101"/>
    </row>
    <row r="450" spans="5:5">
      <c r="E450" s="101"/>
    </row>
    <row r="451" spans="5:5">
      <c r="E451" s="101"/>
    </row>
    <row r="452" spans="5:5">
      <c r="E452" s="101"/>
    </row>
    <row r="453" spans="5:5">
      <c r="E453" s="101"/>
    </row>
    <row r="454" spans="5:5">
      <c r="E454" s="101"/>
    </row>
    <row r="455" spans="5:5">
      <c r="E455" s="101"/>
    </row>
    <row r="456" spans="5:5">
      <c r="E456" s="101"/>
    </row>
    <row r="457" spans="5:5">
      <c r="E457" s="101"/>
    </row>
    <row r="458" spans="5:5">
      <c r="E458" s="101"/>
    </row>
    <row r="459" spans="5:5">
      <c r="E459" s="101"/>
    </row>
    <row r="460" spans="5:5">
      <c r="E460" s="101"/>
    </row>
    <row r="461" spans="5:5">
      <c r="E461" s="101"/>
    </row>
    <row r="462" spans="5:5">
      <c r="E462" s="101"/>
    </row>
    <row r="463" spans="5:5">
      <c r="E463" s="101"/>
    </row>
    <row r="464" spans="5:5">
      <c r="E464" s="101"/>
    </row>
    <row r="465" spans="5:5">
      <c r="E465" s="101"/>
    </row>
    <row r="466" spans="5:5">
      <c r="E466" s="101"/>
    </row>
    <row r="467" spans="5:5">
      <c r="E467" s="101"/>
    </row>
    <row r="468" spans="5:5">
      <c r="E468" s="101"/>
    </row>
    <row r="469" spans="5:5">
      <c r="E469" s="101"/>
    </row>
    <row r="470" spans="5:5">
      <c r="E470" s="101"/>
    </row>
    <row r="471" spans="5:5">
      <c r="E471" s="101"/>
    </row>
    <row r="472" spans="5:5">
      <c r="E472" s="101"/>
    </row>
    <row r="473" spans="5:5">
      <c r="E473" s="101"/>
    </row>
    <row r="474" spans="5:5">
      <c r="E474" s="101"/>
    </row>
    <row r="475" spans="5:5">
      <c r="E475" s="101"/>
    </row>
    <row r="476" spans="5:5">
      <c r="E476" s="101"/>
    </row>
    <row r="477" spans="5:5">
      <c r="E477" s="101"/>
    </row>
    <row r="478" spans="5:5">
      <c r="E478" s="101"/>
    </row>
    <row r="479" spans="5:5">
      <c r="E479" s="101"/>
    </row>
    <row r="480" spans="5:5">
      <c r="E480" s="101"/>
    </row>
    <row r="481" spans="5:5">
      <c r="E481" s="101"/>
    </row>
    <row r="482" spans="5:5">
      <c r="E482" s="101"/>
    </row>
    <row r="483" spans="5:5">
      <c r="E483" s="101"/>
    </row>
    <row r="484" spans="5:5">
      <c r="E484" s="101"/>
    </row>
    <row r="485" spans="5:5">
      <c r="E485" s="101"/>
    </row>
    <row r="486" spans="5:5">
      <c r="E486" s="101"/>
    </row>
    <row r="487" spans="5:5">
      <c r="E487" s="101"/>
    </row>
    <row r="488" spans="5:5">
      <c r="E488" s="101"/>
    </row>
    <row r="489" spans="5:5">
      <c r="E489" s="101"/>
    </row>
    <row r="490" spans="5:5">
      <c r="E490" s="101"/>
    </row>
    <row r="491" spans="5:5">
      <c r="E491" s="101"/>
    </row>
    <row r="492" spans="5:5">
      <c r="E492" s="101"/>
    </row>
    <row r="493" spans="5:5">
      <c r="E493" s="101"/>
    </row>
  </sheetData>
  <sheetProtection formatCells="0"/>
  <mergeCells count="2">
    <mergeCell ref="I3:J3"/>
    <mergeCell ref="K3:L3"/>
  </mergeCells>
  <printOptions horizontalCentered="1"/>
  <pageMargins left="0.25" right="0.25" top="0.25" bottom="0.5" header="0.25" footer="0.25"/>
  <pageSetup scale="80" orientation="landscape" r:id="rId1"/>
  <headerFooter alignWithMargins="0">
    <oddFooter>&amp;LFarley-Jamieson Inc.
Printed on: &amp;D @ &amp;T&amp;CPage &amp;P of &amp;N&amp;RSheet Name: &amp;A
File Name: &amp;F</oddFooter>
  </headerFooter>
  <rowBreaks count="10" manualBreakCount="10">
    <brk id="54" max="16383" man="1"/>
    <brk id="94" max="16383" man="1"/>
    <brk id="143" max="16383" man="1"/>
    <brk id="176" max="16383" man="1"/>
    <brk id="199" max="16383" man="1"/>
    <brk id="231" max="16383" man="1"/>
    <brk id="250" max="16383" man="1"/>
    <brk id="282" max="16383" man="1"/>
    <brk id="309" max="16383" man="1"/>
    <brk id="353" max="16383" man="1"/>
  </rowBreaks>
  <ignoredErrors>
    <ignoredError sqref="I21:P21 I69:K69 L69:P69 I76:P76 I88:P88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14</vt:i4>
      </vt:variant>
    </vt:vector>
  </HeadingPairs>
  <TitlesOfParts>
    <vt:vector size="20" baseType="lpstr">
      <vt:lpstr>Exam Info</vt:lpstr>
      <vt:lpstr>Cover Page</vt:lpstr>
      <vt:lpstr>Summary</vt:lpstr>
      <vt:lpstr>Assumptions</vt:lpstr>
      <vt:lpstr>Scenarios</vt:lpstr>
      <vt:lpstr>Model</vt:lpstr>
      <vt:lpstr>Assumptions!BS_Check</vt:lpstr>
      <vt:lpstr>Scenarios!BS_Check</vt:lpstr>
      <vt:lpstr>Summary!BS_Check</vt:lpstr>
      <vt:lpstr>BS_Check</vt:lpstr>
      <vt:lpstr>Currency</vt:lpstr>
      <vt:lpstr>L_Scenarios</vt:lpstr>
      <vt:lpstr>Million</vt:lpstr>
      <vt:lpstr>'Cover Page'!Print_Area</vt:lpstr>
      <vt:lpstr>Assumptions!Print_Titles</vt:lpstr>
      <vt:lpstr>Model!Print_Titles</vt:lpstr>
      <vt:lpstr>Scenarios!Print_Titles</vt:lpstr>
      <vt:lpstr>Summary!Print_Titles</vt:lpstr>
      <vt:lpstr>S_Scenarios</vt:lpstr>
      <vt:lpstr>Scenario_Used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2020-10-02T18:01:15Z</dcterms:created>
  <dcterms:modified xsi:type="dcterms:W3CDTF">2026-01-14T22:14:40Z</dcterms:modified>
</cp:coreProperties>
</file>